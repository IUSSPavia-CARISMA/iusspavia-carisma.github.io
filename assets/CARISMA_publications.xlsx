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elisanobile/Downloads/"/>
    </mc:Choice>
  </mc:AlternateContent>
  <xr:revisionPtr revIDLastSave="0" documentId="13_ncr:1_{677382E5-D364-234D-98F5-3D2845471121}" xr6:coauthVersionLast="47" xr6:coauthVersionMax="47" xr10:uidLastSave="{00000000-0000-0000-0000-000000000000}"/>
  <bookViews>
    <workbookView xWindow="0" yWindow="740" windowWidth="29400" windowHeight="17320" xr2:uid="{00000000-000D-0000-FFFF-FFFF00000000}"/>
  </bookViews>
  <sheets>
    <sheet name="papers" sheetId="1" r:id="rId1"/>
    <sheet name="reports" sheetId="2" r:id="rId2"/>
    <sheet name="IRI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wkggWgKMoQfRd8Rv5n2ZKDaYzxDLBRljS7esazg2hrk="/>
    </ext>
  </extLst>
</workbook>
</file>

<file path=xl/calcChain.xml><?xml version="1.0" encoding="utf-8"?>
<calcChain xmlns="http://schemas.openxmlformats.org/spreadsheetml/2006/main">
  <c r="K62" i="1" l="1"/>
  <c r="K51" i="1"/>
  <c r="K50" i="1"/>
  <c r="K11" i="1"/>
  <c r="K10" i="1"/>
  <c r="K9" i="1"/>
  <c r="K8" i="1"/>
  <c r="K7" i="1"/>
  <c r="K6" i="1"/>
  <c r="K5" i="1"/>
  <c r="K4" i="1"/>
  <c r="K3" i="1"/>
  <c r="K2" i="1"/>
</calcChain>
</file>

<file path=xl/sharedStrings.xml><?xml version="1.0" encoding="utf-8"?>
<sst xmlns="http://schemas.openxmlformats.org/spreadsheetml/2006/main" count="678" uniqueCount="502">
  <si>
    <t>Authors</t>
  </si>
  <si>
    <t>Title</t>
  </si>
  <si>
    <t>Journal</t>
  </si>
  <si>
    <t>Year</t>
  </si>
  <si>
    <t>DOI</t>
  </si>
  <si>
    <t>Concatena</t>
  </si>
  <si>
    <t>Selami N., G. Sèze, M. Gaetani, J.Y. Grandpeix, C. Flamant, J. Cuesta, N. Benabadji</t>
  </si>
  <si>
    <t>Cloud Cover over the Sahara during the Summer and Associated Circulation Features</t>
  </si>
  <si>
    <t>Atmosphere</t>
  </si>
  <si>
    <t>https://doi.org/10.3390/atmos12040428</t>
  </si>
  <si>
    <t>Monerie P.A., B. Pohl, M. Gaetani</t>
  </si>
  <si>
    <t>The fast response of Sahel precipitation to climate change allows effective mitigation action</t>
  </si>
  <si>
    <t>npj Climate and Atmospheric Science</t>
  </si>
  <si>
    <t>https://doi.org/10.1038/s41612-021-00179-6</t>
  </si>
  <si>
    <t>Chauvigné A., F. Waquet, F. Auriol, L. Blarel, C. Delegove, O. Dubovik, C. Flamant, M. Gaetani, P. Goloub, R. Loisil, M. Mallet, J.M. Nicolas, F. Parol, F. Peers, B. Torres, P. Formenti</t>
  </si>
  <si>
    <t>Aerosol and cloud properties in the Namibian region during AEROCLO-sA field campaign: 3MI airborne simulator and sun-photometer measurements</t>
  </si>
  <si>
    <t>Atmospheric Chemistry and Physics</t>
  </si>
  <si>
    <t>https://doi.org/10.5194/acp-21-8233-2021</t>
  </si>
  <si>
    <t>Kodera, K., N. Eguchi, R. Ueyama, B. M. Funatsu, M. Gaetani, C. M. Taylor</t>
  </si>
  <si>
    <t>The impact of tropical tropopause cooling on Sahelian extreme deep convection</t>
  </si>
  <si>
    <t>Journal of the Meteorological Society of Japan</t>
  </si>
  <si>
    <t>https://doi.org/10.2151/jmsj.2021-055</t>
  </si>
  <si>
    <t>Di Biagio C., J.R. Banks, M. Gaetani</t>
  </si>
  <si>
    <t>Dust Atmospheric Transport Over Long Distances</t>
  </si>
  <si>
    <t>Reference Module in Earth Systems and Environmental Sciences</t>
  </si>
  <si>
    <t>https://doi.org/10.1016/B978-0-12-818234-5.00033-X</t>
  </si>
  <si>
    <t>Fowler H.J. , Haider Ali , Richard P. Allan , Nikolina Ban , Renaud Barbero , Peter Berg , Stephen Blenkinsop , Nalan Senol Cabi , Steven Chan , Murray Dale , Robert J. H. Dunn , Marie Ekström , Jason P. Evans , Giorgia Fosser , Brian Golding , Selma B. Guerreiro , Gabriele C. Hegerl , Abdullah Kahraman , Elizabeth J. Kendon , Geert Lenderink , Elizabeth Lewis , Xiaofeng Li , Paul A. O'Gorman , Harriet G. Orr , Katy L. Peat , Andreas F. Prein , David Pritchard , Christoph Schär , Ashish Sharma , Peter A. Stott , Roberto Villalobos-Herrera , Gabriele Villarini , Conrad Wasko , Michael F. Wehner , Seth Westra , Anna Whitford</t>
  </si>
  <si>
    <t>Towards advancing scientific knowledge of climate change impacts on short-duration rainfall extremes</t>
  </si>
  <si>
    <t>Phil. Trans. R. Soc. A</t>
  </si>
  <si>
    <t>https://doi.org/10.1098/rsta.2019.0542</t>
  </si>
  <si>
    <t>Gaetani, M., Pohl, B., Alvarez Castro, M. C., Flamant, C., Formenti, P.</t>
  </si>
  <si>
    <t>A weather regime characterisation of winter biomass aerosol transport from southern Africa</t>
  </si>
  <si>
    <t>https://doi.org/10.5194/acp-21-16575-2021</t>
  </si>
  <si>
    <t xml:space="preserve">Cesarini, L. Figueiredo, R., Monteleone, B., Martina, M. </t>
  </si>
  <si>
    <t>The potential of machine learning for weather index insurance</t>
  </si>
  <si>
    <t>NHESS</t>
  </si>
  <si>
    <t>https://doi.org/10.5194/nhess-21-2379-2021</t>
  </si>
  <si>
    <t>Arosio M., Cesarini L., Martina M.L.V.</t>
  </si>
  <si>
    <t>Assessment of the Disaster Resilience of Complex Systems: The Case of the Flood Resilience of a Densely Populated City</t>
  </si>
  <si>
    <t>Water</t>
  </si>
  <si>
    <t>https://doi.org/10.3390/w13202830</t>
  </si>
  <si>
    <t>Arosio M., Arrighi C., Cesarini L., Martina M.L.V.</t>
  </si>
  <si>
    <t>Service Accessibility Risk (SAR) Assessment for Pluvial and Fluvial Floods in an Urban Context</t>
  </si>
  <si>
    <t>Hydrology</t>
  </si>
  <si>
    <t>https://doi.org/10.3390/hydrology8030142</t>
  </si>
  <si>
    <t>De Bernardi, C., Sydow, A.</t>
  </si>
  <si>
    <t>Am I an environmental entrepreneur? On the evolution of entrepreneurial identity.</t>
  </si>
  <si>
    <t>Academy of Management Proceedings</t>
  </si>
  <si>
    <t>https://journals.aom.org/doi/10.5465/AMBPP.2021.11773abstract</t>
  </si>
  <si>
    <t>Arenas Vives, D., Hai, S., De Bernardi, C.</t>
  </si>
  <si>
    <t>Coopetition among Social Enterprises: A Three-level Dynamic Motivated by Social and Economic Goals</t>
  </si>
  <si>
    <t>Nonprofit and Voluntary Sector Quarterly</t>
  </si>
  <si>
    <r>
      <rPr>
        <u/>
        <sz val="11"/>
        <color rgb="FF000000"/>
        <rFont val="Calibri"/>
        <family val="2"/>
      </rPr>
      <t>https://doi.org/10.1177/0899764020948615</t>
    </r>
    <r>
      <rPr>
        <u/>
        <sz val="11"/>
        <color rgb="FF000000"/>
        <rFont val="Calibri"/>
        <family val="2"/>
      </rPr>
      <t xml:space="preserve"> </t>
    </r>
  </si>
  <si>
    <t>Flamant, C., Gaetani, M., Chaboureau, J.-P., Chazette, P., Cuesta, J., Piketh, S. J., Formenti, P.,</t>
  </si>
  <si>
    <t>Smoke in the river: an Aerosols, Radiation and Clouds in southern Africa (AEROCLO-sA) case study</t>
  </si>
  <si>
    <t>https://doi.org/10.5194/acp-22-5701-2022</t>
  </si>
  <si>
    <t>Flamant, C., Gaetani, M., Chaboureau, J.-P., Chazette, P., Cuesta, J., Piketh, S. J., Formenti, P., 2022: Smoke in the river: an Aerosols, Radiation and Clouds in southern Africa (AEROCLO-sA) case study, Atmospheric Chemistry and Physics, 22, 5701–5724, https://doi.org/10.5194/acp-22-5701-2022</t>
  </si>
  <si>
    <t>Monteleone, B., Borzì, I., Bonaccorso B., Martina M.</t>
  </si>
  <si>
    <t>Developing stage-specific drought vulnerability curves for maize: the case study of the Po River Basin</t>
  </si>
  <si>
    <t>Agricultural Water Management</t>
  </si>
  <si>
    <t>https://doi.org/10.1016/j.agwat.2022.107713</t>
  </si>
  <si>
    <t>De Bernardi, C., Arenas Vives, D.</t>
  </si>
  <si>
    <t>How to Avoid Swinging: a Social Enterprise’s Quest for Authenticity in Tourism.</t>
  </si>
  <si>
    <t>Tourism Management</t>
  </si>
  <si>
    <t>https://doi.org/10.1016/j.tourman.2021.104439</t>
  </si>
  <si>
    <t>Journal of Cleaner Production</t>
  </si>
  <si>
    <t>https://doi.org/10.1016/j.jclepro.2022.131306</t>
  </si>
  <si>
    <t>Bateni M., M. Martina, M. Arosio</t>
  </si>
  <si>
    <t>Multivariate return period for different types of flooding in city of Monza, Italy</t>
  </si>
  <si>
    <t>Natural Hazards</t>
  </si>
  <si>
    <t>https://doi.org/10.1007/s11069-022-05413-9</t>
  </si>
  <si>
    <t>Fierro, L., Caiani, A., Russo, A.</t>
  </si>
  <si>
    <t>Automation, job polarisation, and structural change</t>
  </si>
  <si>
    <t>Journal of Economic Behavior &amp; Organization</t>
  </si>
  <si>
    <t>https://doi.org/10.1016/j.jebo.2022.05.025</t>
  </si>
  <si>
    <t>Fierro, L., Caiani, A., Russo, A., 2022: Automation, job polarisation, and structural change. Journal of Economic Behavior &amp; Organization, 200, 499-535</t>
  </si>
  <si>
    <t>Reissl, S., Caiani, A., Lamperti, F., Guerini, M., Vanni, F., Fagiolo, G., Ferraresi, T., Ghezzi, L., Napoletano, M, Roventini, A.</t>
  </si>
  <si>
    <t>Assessing the economic effects of lockdowns in Italy: a dynamic Input-Output approach</t>
  </si>
  <si>
    <t>Industrial and Corporate Change</t>
  </si>
  <si>
    <t>https://doi.org/10.1093/icc/dtac003</t>
  </si>
  <si>
    <t>Reissl, S., Caiani, A., Lamperti, F., Guerini, M., Vanni, F., Fagiolo, G., Ferraresi, T., Ghezzi, L., Napoletano, M, Roventini, A., 2022: Assessing the economic effects of lockdowns in Italy: a dynamic Input-Output approach, Industrial and Corporate Change, 31 (2), 358-409</t>
  </si>
  <si>
    <t xml:space="preserve">Gatti, I., Martin, P., Vargas, E., Gasparotto, M., Prario, B., Gentile, E., &amp; L. Patané </t>
  </si>
  <si>
    <t>An Assessment of Severe Storms, Their Impacts and Social Vulnerability in Coastal Areas: A Case Study of General Pueyrredon, Argentina</t>
  </si>
  <si>
    <t>Applied Geomorphology and Contemporary Issues - Springer</t>
  </si>
  <si>
    <t>https://doi.org/10.1007/978-3-031-04532-5_29</t>
  </si>
  <si>
    <t>Gatti, I.A. et al. 2022. An Assessment of Severe Storms, Their Impacts and Social Vulnerability in Coastal Areas: A Case Study of General Pueyrredon, Argentina. In: Mandal, S., Maiti, R., Nones, M., Beckedahl, H.R. (eds) Applied Geomorphology and Contemporary Issues. Geography of the Physical Environment. Springer, Cham. https://doi.org/10.1007/978-3-031-04532-5_29</t>
  </si>
  <si>
    <t>Taramelli, A., Righini, M., Valentini, E., Alfieri, L., Gatti, I., &amp; S. Gabellani</t>
  </si>
  <si>
    <t>Building-scale flood loss estimation through vulnerability pattern characterization: application to an urban flood in Milan, Italy</t>
  </si>
  <si>
    <t>Natural Hazards and Earth System Sciences</t>
  </si>
  <si>
    <t>https://doi.org/10.5194/nhess-22-3543-2022</t>
  </si>
  <si>
    <t>Taramelli, A., Righini, M., Valentini, E., Alfieri, L., Gatti, I., and Gabellani, S.: Building-scale flood loss estimation through vulnerability pattern characterization: application to an urban flood in Milan, Italy, Nat. Hazards Earth Syst. Sci., 22, 3543–3569, https://doi.org/10.5194/nhess-22-3543-2022, 2022.</t>
  </si>
  <si>
    <t>Quantifying crop vulnerability to weather-related extreme events and climate change through vulnerability curves</t>
  </si>
  <si>
    <t>https://doi.org/10.1007/s11069-022-05791-0</t>
  </si>
  <si>
    <t>Rapella, L., Faranda, D., Gaetani, M., Drobinski, P., Ginesta, M.</t>
  </si>
  <si>
    <t>Climate change on extreme winds already affects off-shore wind power availability in Europe</t>
  </si>
  <si>
    <t>Environmental Research Letters</t>
  </si>
  <si>
    <t>https://doi.org/10.1088/1748-9326/acbdb2</t>
  </si>
  <si>
    <t>Rapella, L., Faranda, D., Gaetani, M., Drobinski, P., Ginesta, M., 2023: Climate change on extreme winds already affects off-shore wind power availability in Europe. Environmental Research Letters, 18, 034040, https://doi.org/10.1088/1748-9326/acbdb2.</t>
  </si>
  <si>
    <t>Dallan E., F. Marra, G. Fosser, M. Marani, G. Formetta, C. Schär, M.Borga</t>
  </si>
  <si>
    <t>How well does a convection-permitting regional climate model represent the reverse orographic effect of extreme hourly precipitation?</t>
  </si>
  <si>
    <t>https://doi.org/10.5194/hess-27-1133-2023</t>
  </si>
  <si>
    <t>Ferraresi, T., Ghezzi, L., Vanni, F., Caiani, A., Guerini, M., Lamperti, F., Reissl, S., Fagiolo, G., Napoletano, M. and Roventini, A.</t>
  </si>
  <si>
    <t>On the employment and health impact of the COVID-19 shock on Italian regions: A value chain approach</t>
  </si>
  <si>
    <t>Regional Studies</t>
  </si>
  <si>
    <t>https://doi.org/10.1080/00343404.2023.2189508</t>
  </si>
  <si>
    <t>Reissl, S., Caiani, A., Lamperti, F., Ferraresi, T., Ghezzi, L.</t>
  </si>
  <si>
    <t>A regional Input-Output model of the Covid-19 crisis in Italy: decomposing demand and supply factors</t>
  </si>
  <si>
    <t>Economic Systems Research</t>
  </si>
  <si>
    <t>https://doi.org/10.1080/09535314.2023.2213394</t>
  </si>
  <si>
    <t>Massano L., G. Fosser, M. Gaetani, B. Bois</t>
  </si>
  <si>
    <t>Assessment of climate impact on grape productivity: A new application for bioclimatic indices in Italy</t>
  </si>
  <si>
    <t>Science of the Total Environment</t>
  </si>
  <si>
    <t>https://doi.org/10.1016/j.scitotenv.2023.167134</t>
  </si>
  <si>
    <t>Massano L., G. Fosser, M. Gaetani, B. Bois, 2023: Assessment of climate impact on grape productivity: A new application for bioclimatic indices in Italy. Science of the Total Environment, 905 (2023) 167134, https://doi.org/10.1016/j.scitotenv.2023.167134</t>
  </si>
  <si>
    <t xml:space="preserve">Halladay K., R. Kahana, B. Johnson, C. Still, G. Fosser, L. Alves </t>
  </si>
  <si>
    <t>Convection-permitting climate simulations for South America with the Met Office Unified Model</t>
  </si>
  <si>
    <t>Climate Dynamics</t>
  </si>
  <si>
    <t>https://doi.org/10.1007/s00382-023-06853-0</t>
  </si>
  <si>
    <t xml:space="preserve">de Coëtlogon, G., Deroubaix, A., Flamant, C., Menut, L., and Gaetani, M.
                                    </t>
  </si>
  <si>
    <t xml:space="preserve">Impact of the Guinea coast upwelling on atmospheric dynamics, precipitation and pollutant transport over southern West Africa
                                    </t>
  </si>
  <si>
    <t xml:space="preserve">https://doi.org/10.5194/acp-23-15507-2023
                                    </t>
  </si>
  <si>
    <t xml:space="preserve">de Coëtlogon, G., Deroubaix, A., Flamant, C., Menut, L., and Gaetani, M.: Impact of the Guinea coast upwelling on atmospheric dynamics, precipitation and pollutant transport over southern West Africa, Atmos. Chem. Phys., 23, 15507–15521, https://doi.org/10.5194/acp-23-15507-2023, 2023.
                                    </t>
  </si>
  <si>
    <t>Monteleone B., Giusti R., Magnini A., Arosio M., Domeneghetti A., Borzì, I., Petruccelli N., Castellarin A., Bonaccorso B., Martina M.</t>
  </si>
  <si>
    <t>Estimations of Crop Losses Due to Flood Using Multiple Sources of Information and Models: The Case Study of the Panaro River</t>
  </si>
  <si>
    <t>https://doi.org/10.3390/w15111980</t>
  </si>
  <si>
    <t>Monteleone B., Borzì I., Arosio M., Cesarini L., Bonaccorso B., Martina M.</t>
  </si>
  <si>
    <t>Modelling the response of wheat yield to stage-specific water stress in the Po Plain</t>
  </si>
  <si>
    <t>https://doi.org/10.1016/j.agwat.2023.108444</t>
  </si>
  <si>
    <t>Zuzul J., Ricci A., Burlando M., Blocken B., Solari G.</t>
  </si>
  <si>
    <t>CFD analysis of the WindEEE dome produced downburst-like winds</t>
  </si>
  <si>
    <t>Journal of Wind Engineering and Industrial Aerodynamics (Elsevier)</t>
  </si>
  <si>
    <t>https://doi.org/10.1016/j.jweia.2022.105268</t>
  </si>
  <si>
    <t>Xia L., Ricci A., Qin P., Blocken B.</t>
  </si>
  <si>
    <t>Reducing aerosol particle concentration in indoor spaces with mechanical ventilation and aircleaning: evidences and challenges</t>
  </si>
  <si>
    <t>Environmental Science and Engineering (Springer)</t>
  </si>
  <si>
    <t>https://doi.org/10.1007/978-981-19-9822-5_188</t>
  </si>
  <si>
    <t>Qin P., Ricci A., Blocken B</t>
  </si>
  <si>
    <t>CFD simulations of pollutant dispersion in a street canoyn: impact of ideal versus realistic source emissions</t>
  </si>
  <si>
    <t>https://doi.org/10.1007/978-981-19-9822-5_5</t>
  </si>
  <si>
    <t>Jayakumari R.A.K., Ricci A., Guichard R., Gillmeier S., Blocken B.</t>
  </si>
  <si>
    <t>Numerical analysis of wind effects on mechanically induced depressurization for asbestos abatement</t>
  </si>
  <si>
    <t xml:space="preserve">Building Simulation conference proceedings </t>
  </si>
  <si>
    <t>10.26868/25222708.2023.1208</t>
  </si>
  <si>
    <t>Aerosol concentration and airflow distribution assessment in a multi-zone indoor space with mechanical ventilation: field measurements and CFD simulations</t>
  </si>
  <si>
    <t>10.26868/25222708.2023.1245</t>
  </si>
  <si>
    <t>Ricci A., Vasaturo R., Blocken B.</t>
  </si>
  <si>
    <t>An integrated tool to improve the safety of seaports and waterways under strong wind conditions</t>
  </si>
  <si>
    <t>https://doi.org/10.1016/j.jweia.2023.105327</t>
  </si>
  <si>
    <t>CFD simulation of pollutant dispersion in a street canyon: Impact of idealized and realistic sources</t>
  </si>
  <si>
    <t xml:space="preserve">E3S Web of Conferences </t>
  </si>
  <si>
    <t>10.1051/e3sconf/202339602042</t>
  </si>
  <si>
    <t>Jayakumari R.A.K., Gillmeier S., Ricci A., Guichard R., Blocken B.</t>
  </si>
  <si>
    <t>Scaling effects on experimentally obtained pressures on an idealized building: Possible implications towards asbestos containment</t>
  </si>
  <si>
    <t>https://doi.org/10.1016/j.jweia.2023.105442</t>
  </si>
  <si>
    <t>Zhao Y., Chew LW., Fan Y., Gromke C., Hang J., Yu Y., Ricci A., Zhang Y., Xue Y., Fellini S., Mirzaei P., Gao N., Carpentieri M., Salizzoni P., Niu J., Carmeliet J.</t>
  </si>
  <si>
    <t>Fluid tunnel research for challenges of urban climate</t>
  </si>
  <si>
    <t>Urban Climate</t>
  </si>
  <si>
    <t>https://doi.org/10.1016/j.uclim.2023.101659</t>
  </si>
  <si>
    <t>Flamant, C., J.-P. Chaboureau, J. Delanoë, M. Gaetani et al.</t>
  </si>
  <si>
    <t>Cyclogenesis in the tropical Atlantic: First scientific highlights from the Clouds-Atmospheric Dynamics-Dust Interactions in West Africa (CADDIWA) field campaign</t>
  </si>
  <si>
    <t>Bulletin of the American Meteorological Society</t>
  </si>
  <si>
    <t>https://doi.org/10.1175/BAMS-D-23-0230.1</t>
  </si>
  <si>
    <t>Flamant, C., J.-P. Chaboureau, J. Delanoë, M. Gaetani et al., 2024: Cyclogenesis in the tropical Atlantic: First scientific highlights from the Clouds-Atmospheric Dynamics-Dust Interactions in West Africa (CADDIWA) field campaign. Bulletin of the American Meteorological Society, https://doi.org/10.1175/BAMS-D-23-0230.1</t>
  </si>
  <si>
    <t>Flamant, C., Chaboureau, J.-P., Gaetani, M., Schepanski, K., and Formenti, P.</t>
  </si>
  <si>
    <t>The radiative impact of biomass burning aerosols on dust emissions over Namibia and the long-range transport of smoke observed during AEROCLO-sA</t>
  </si>
  <si>
    <t>https://doi.org/10.5194/egusphere-2023-2371</t>
  </si>
  <si>
    <t>Flamant, C., Chaboureau, J.-P., Gaetani, M., Schepanski, K., and Formenti, P., 2024: The radiative impact of biomass burning aerosols on dust emissions over Namibia and the long-range transport of smoke observed during AEROCLO-sA. Atmospheric Chemistry and Physics, https://doi.org/10.5194/egusphere-2023-2371.</t>
  </si>
  <si>
    <t>Fosser, G., Gaetani M., et al.</t>
  </si>
  <si>
    <t>Convection-permitting climate models offer more certain extreme rainfall projections</t>
  </si>
  <si>
    <t>https://doi.org/10.1038/s41612-024-00600-w</t>
  </si>
  <si>
    <r>
      <rPr>
        <sz val="11"/>
        <color rgb="FF000000"/>
        <rFont val="Calibri"/>
        <family val="2"/>
      </rPr>
      <t xml:space="preserve">Fosser, G., Gaetani M., Kendon E.J., Adinolfi M., Ban N., Belušić D., Caillaud C., Careto J.A.M., Coppola E., Demory M.E., de Vries H., Dobler A., Feldmann H., Goergen K., Lenderink G., Pichelli E., Schär C., Soares P.M.M., Somot S. and Tölle M.H, 2024. Convection-permitting climate models offer more certain extreme rainfall projections. npj Climate and Atmospheric Science, 7, 51, </t>
    </r>
    <r>
      <rPr>
        <u/>
        <sz val="11"/>
        <color rgb="FF1155CC"/>
        <rFont val="Calibri"/>
        <family val="2"/>
      </rPr>
      <t>https://doi.org/10.1038/s41612-024-00600-w</t>
    </r>
  </si>
  <si>
    <t>Gaetani, M., Messori, G., Pausata, F. S. R., Tiwari, S., Alvarez Castro, M. C., and Zhang, Q.</t>
  </si>
  <si>
    <t>Mid-Holocene climate at mid-latitudes: assessing the impact of Saharan greening</t>
  </si>
  <si>
    <t>Climate of the Past</t>
  </si>
  <si>
    <t>https://doi.org/10.5194/cp-20-1735-2024.</t>
  </si>
  <si>
    <r>
      <rPr>
        <sz val="11"/>
        <color rgb="FF000000"/>
        <rFont val="Calibri"/>
        <family val="2"/>
      </rPr>
      <t xml:space="preserve">Gaetani, M., Messori, G., Pausata, F. S. R., Tiwari, S., Alvarez Castro, M. C., and Zhang, Q., 2024: Mid-Holocene climate at mid-latitudes: assessing the impact of Saharan greening, Clim. Past, 20, 1735–1759, </t>
    </r>
    <r>
      <rPr>
        <u/>
        <sz val="11"/>
        <color rgb="FF1155CC"/>
        <rFont val="Calibri"/>
        <family val="2"/>
      </rPr>
      <t>https://doi.org/10.5194/cp-20-1735-2024.</t>
    </r>
  </si>
  <si>
    <t>Massano, L. T., Fosser, G., Gaetani, M., and Caillaud, C</t>
  </si>
  <si>
    <t>Using a convection permitting climate model to assess wine grape productivity: two case studies in Italy</t>
  </si>
  <si>
    <t>Nat. Hazards Earth Syst. Sci.</t>
  </si>
  <si>
    <t>https://doi.org/10.5194/nhess-24-4293-2024.</t>
  </si>
  <si>
    <t>Massano, L. T., Fosser, G., Gaetani, M., and Caillaud, C., 2024: Using a convectionpermitting climate model to assess wine grape productivity: two case studies in Italy, Nat. Hazards Earth Syst. Sci., 24, 4293–4315, https://doi.org/10.5194/nhess-24-4293-2024.</t>
  </si>
  <si>
    <t>Dallan, E., F. Marra, G. Fosser, M. Marani, and M. Borga</t>
  </si>
  <si>
    <t>Dynamical Factors Heavily Modulate the Future Increase of Sub‐Daily Extreme Precipitation in the Alpine‐Mediterranean Region</t>
  </si>
  <si>
    <t>Earth’s Future</t>
  </si>
  <si>
    <t>https://doi.org/10.1029/2024EF005185</t>
  </si>
  <si>
    <t>Dallan, E., F. Marra, G. Fosser, M. Marani, and M. Borga, 2024: Dynamical Factors Heavily Modulate the Future Increase of Sub‐Daily Extreme Precipitation in the Alpine‐Mediterranean Region. Earth’s Futur., 12, 1–16, doi:10.1029/2024EF005185.</t>
  </si>
  <si>
    <t>Dallan, E., M. Borga, G. Fosser, A. Canale, B. Roghani, M. Marani, and F. Marra</t>
  </si>
  <si>
    <t>A Method to Assess and Explain Changes in Sub‐Daily Precipitation Return Levels From Convection‐Permitting Simulations</t>
  </si>
  <si>
    <t>Water Resour. Res</t>
  </si>
  <si>
    <t>https://doi.org/10.1029/2023WR035969</t>
  </si>
  <si>
    <t>Dallan, E., M. Borga, G. Fosser, A. Canale, B. Roghani, M. Marani, and F. Marra, (2024): A Method to Assess and Explain Changes in Sub‐Daily Precipitation Return Levels From Convection‐Permitting Simulations. Water Resour. Res., 60,doi:10.1029/2023WR035969.</t>
  </si>
  <si>
    <t>Paprotny, D., Rhein, B., Vousdoukas, M. I., Terefenko, P., Dottori, F., Treu, S., Śledziowski, J., Feyen, L., and Kreibich, H.</t>
  </si>
  <si>
    <t>Merging modelled and reported flood impacts in Europe in a combined flood event catalogue for 1950–2020</t>
  </si>
  <si>
    <t>Hydrol. Earth Syst. Sci.</t>
  </si>
  <si>
    <t>https://doi.org/10.5194/hess-28-3983-2024</t>
  </si>
  <si>
    <t>Paprotny, D., Rhein, B., Vousdoukas, M. I., Terefenko, P., Dottori, F., Treu, S., Śledziowski, J., Feyen, L., and Kreibich, H.: Merging modelled and reported flood impacts in Europe in a combined flood event catalogue for 1950–2020, Hydrol. Earth Syst. Sci., 28, 3983–4010, https://doi.org/10.5194/hess-28-3983-2024, 2024.</t>
  </si>
  <si>
    <t xml:space="preserve">Cesarini, L., Gonçalves, R., Martina, M., Romão, X.,  Monteleone, B., Pereira, F.L., Figueiredo, R. </t>
  </si>
  <si>
    <t>Comparison of deep learning models for milk production forecasting at national scale</t>
  </si>
  <si>
    <t>Computers and Electronics in Agriculture</t>
  </si>
  <si>
    <t>https://doi.org/10.1016/j.compag.2024.108933</t>
  </si>
  <si>
    <t>Caiani, A. And Catullo, E.</t>
  </si>
  <si>
    <t>Fiscal transfers and common debt in a Monetary Union: a multi-country agent–based stock flow consistent model</t>
  </si>
  <si>
    <t>https://doi.org/10.1093/icc/dtae006</t>
  </si>
  <si>
    <t>Potsis T., Ricci A., Stathopoulos T.</t>
  </si>
  <si>
    <t>On the reliability of the dynamic terrain method to generate ABL winds for environmental applications</t>
  </si>
  <si>
    <t xml:space="preserve">Meccanica - Springer </t>
  </si>
  <si>
    <t>10.1007/s11012-024-01810-5</t>
  </si>
  <si>
    <t>Zuzul J., Ricci A., Burlando M.</t>
  </si>
  <si>
    <t>An automated geometry generation procedure for CWE applications in OpenFOAM: the case study of a thunderstorm downburst moving over Genoa city.</t>
  </si>
  <si>
    <t>10.1007/s11012-024-01816-z</t>
  </si>
  <si>
    <t xml:space="preserve">Ricci A. </t>
  </si>
  <si>
    <t>Review of OpenFOAM applications in the computational wind engineering: from wind environment to wind structural engineering.</t>
  </si>
  <si>
    <t xml:space="preserve">10.1007/s11012-024-01826-x </t>
  </si>
  <si>
    <t>Qin P., Ricci A., Blocken B.</t>
  </si>
  <si>
    <t>CFD simulation of aerodynamic forces on the DrivAer car model: Impact of computational parameters</t>
  </si>
  <si>
    <t>https://doi.org/10.1016/j.jweia.2024.105711</t>
  </si>
  <si>
    <t xml:space="preserve">Vortex dynamics and radial outflow velocity evolution in downburst-like winds </t>
  </si>
  <si>
    <t xml:space="preserve">Computers &amp; Fluids </t>
  </si>
  <si>
    <t>https://doi.org/10.1016/j.compfluid.2024.106393</t>
  </si>
  <si>
    <t>On the accuracy of idealized sources in CFD simulations of pollutant dispersion in an urban street canyon</t>
  </si>
  <si>
    <t xml:space="preserve">Building and Environment
</t>
  </si>
  <si>
    <t>https://doi.org/10.1016/j.buildenv.2024.111950</t>
  </si>
  <si>
    <t>Jayakumari, A.K.R., Guichard, R., Ricci, A., Gillmeier, S., Blocken, B.</t>
  </si>
  <si>
    <t>Towards an improved wind effect assessment for asbestos abatement: A methodology for reduced-scale experiments</t>
  </si>
  <si>
    <t xml:space="preserve">Journal of Environmental Management </t>
  </si>
  <si>
    <t>https://doi.org/10.1016/j.jenvman.2024.122698</t>
  </si>
  <si>
    <t>Modeling traffic pollutants in a street canyon by CFD: Idealized line sources versus multiple realistic car sources</t>
  </si>
  <si>
    <t>https://doi.org/10.1016/j.scitotenv.2024.177099</t>
  </si>
  <si>
    <t xml:space="preserve">Righini, M.; Gatti, I.; Taramelli, A.; Arosio, M.; Valentini, E.; Sapio, S.; Schiavon, E. </t>
  </si>
  <si>
    <t>Integrated Flood Impact and Vulnerability Assessment Using a Multi-Sensor Earth Observation Mission with the Perspective of an Operational Service in Lombardy, Italy</t>
  </si>
  <si>
    <t xml:space="preserve">https://doi.org/10.3390/land13020140 </t>
  </si>
  <si>
    <t>M. Arosio, C. Arrighi, R. Bonomelli, A. Domeneghetti, G. Farina, D. Molinari, B. Monteleone, A.R. Scorzini, M. Martina</t>
  </si>
  <si>
    <t>Unveiling the assessment process behind an integrated flood risk management plan</t>
  </si>
  <si>
    <t>International Journal of Disaster Risk Reduction</t>
  </si>
  <si>
    <t>https://doi.org/10.1016/j.ijdrr.2024.104755</t>
  </si>
  <si>
    <t xml:space="preserve">Di Noia, J., Caiani, A., Cesarini, L., Arosio, M. Monteleone, B. </t>
  </si>
  <si>
    <t>A High Resolution Input-Output Model to Assess the Economic Impact of Floods.</t>
  </si>
  <si>
    <t>Journal of Economic Behavior and Organization</t>
  </si>
  <si>
    <t>https://doi.org/10.1016/j.jebo.2025.106896</t>
  </si>
  <si>
    <t>Hamitouche M., Fosser G., Anav A, He C., Lin T-S.</t>
  </si>
  <si>
    <t>Impact of Runoff Schemes on Global Flow Discharge: A Comprehensive Analysis Using the Noah-MP and CaMa-Flood Models</t>
  </si>
  <si>
    <t>Hydrology and Earth System Sciences</t>
  </si>
  <si>
    <t>https://doi.org/10.5194/hess-29-1221-2025</t>
  </si>
  <si>
    <t>Jayakumari, A.K.R., Ricci A., Guichard R., Gillmeier S., Blocken B.</t>
  </si>
  <si>
    <t>Wind effects on mechanically depressurized indoor containment zones: Impact of uncertainties in computational fluid dynamics wind pressure on ventilation network model output</t>
  </si>
  <si>
    <t>Physics of Fluids</t>
  </si>
  <si>
    <t xml:space="preserve">https://doi.org/10.1063/5.0260452  </t>
  </si>
  <si>
    <t>Jayakumari, A.K.R., Guichard R., Gillmeier S., Ricci A., Blocken B.</t>
  </si>
  <si>
    <t>Atmospheric wind effects on depressurization for indoor asbestos pollution containment: Experimental analysis and a ventilation network model validation</t>
  </si>
  <si>
    <t xml:space="preserve">https://doi.org/10.1016/j.buildenv.2025.112664 </t>
  </si>
  <si>
    <t>Qin, P., Ricci, A., Blocken, B.</t>
  </si>
  <si>
    <t>CFD simulation of pollutant dispersion in a street canyon with realistic car sources: The potential of green infrastructure configurations</t>
  </si>
  <si>
    <t>accepted for publication - doi not released yet</t>
  </si>
  <si>
    <t>Lambert F.H., Allan R., Behrangi A., Byrne M., Ceppi P., Chadwick R., Durack P., Fosser G., Fowler H., Greve P., Lee T., Mutton H.,  O'Gorman P., Osborne J., Pendergrass A., Reager J., Stier P., Swann A., Todd A., Vicente-Serrano S.M., Stephens G</t>
  </si>
  <si>
    <t>Changes in the regional water cycle and their impact on societies</t>
  </si>
  <si>
    <t>WIREs Climate Change</t>
  </si>
  <si>
    <r>
      <rPr>
        <u/>
        <sz val="11"/>
        <color rgb="FF1155CC"/>
        <rFont val="Calibri"/>
        <family val="2"/>
      </rPr>
      <t>https://doi.org/10.1002/wcc.70005</t>
    </r>
  </si>
  <si>
    <t>Correa-Sánchez, N., E. Dallan, E., F. Marra, G. Fosser, and M. Borga</t>
  </si>
  <si>
    <t>Orographic control on bias and uncertainty in extreme sub-daily precipitation simulations from a convection-permitting ensemble</t>
  </si>
  <si>
    <t>Journal of Hydrology</t>
  </si>
  <si>
    <r>
      <rPr>
        <u/>
        <sz val="11"/>
        <color rgb="FF1155CC"/>
        <rFont val="Calibri"/>
        <family val="2"/>
      </rPr>
      <t>https://doi.org/10.1016/j.jhydrol.2025.133324</t>
    </r>
  </si>
  <si>
    <t>Chericoni M, Fosser G., Flaounas E., Sannino G. and Anav A</t>
  </si>
  <si>
    <t>Extreme Mediterranean cyclones and associated variables in an atmosphere-only vs an ocean-coupled regional model</t>
  </si>
  <si>
    <t>Weather and Climate Dynamics</t>
  </si>
  <si>
    <t>Chericoni M, Fosser G., Flaounas E., Gaetani M. and Anav A.</t>
  </si>
  <si>
    <t>Unravelling drivers of the future Mediterranean precipitation paradox during cyclones</t>
  </si>
  <si>
    <t>NPJ Climate and atmospheric science</t>
  </si>
  <si>
    <t>https://doi.org/10.1038/s41612-025-01121-w</t>
  </si>
  <si>
    <t>Chericoni, M., Fosser, G., Flaounas, E., Gaetani M. and Anav A., 2025: Unravelling drivers of the future Mediterranean precipitation paradox during cyclones. npj Clim. Atmos. Sci. 8, 260, https://doi.org/10.1038/s41612-025-01121-w</t>
  </si>
  <si>
    <t>Massano L.T., B. Bois, M. Adrian, G. Fosser, M. Gaetani</t>
  </si>
  <si>
    <t>The use of ecoclimatic indices to investigate climate impact on wine grape yield at local scale</t>
  </si>
  <si>
    <t>European Journal of Agronomy</t>
  </si>
  <si>
    <t>https://doi.org/10.1016/j.eja.2025.127790</t>
  </si>
  <si>
    <t>Massano L.T., B. Bois, M. Adrian, G. Fosser, M. Gaetani, 2025: The use of ecoclimatic indices to investigate climate impact on wine grape yield at local scale. European Journal of Agronomy, 171, 127790, https://doi.org/10.1016/j.eja.2025.127790</t>
  </si>
  <si>
    <t xml:space="preserve">White, C. J., Adnan, M. S. G., Arosio, M., Buller, S., Cha, Y., Ciurean, R., Crummy, J. M., Duncan, M., Gill, J., Kennedy, C., Nobile, E., Smale, L., and Ward, P. J.: </t>
  </si>
  <si>
    <t>Review article: Towards multi-hazard and multi-risk indicators – a review and recommendations for development and implementation</t>
  </si>
  <si>
    <t xml:space="preserve">Nat. Hazards Earth Syst. Sci. Discuss. </t>
  </si>
  <si>
    <t>https://doi.org/10.5194/nhess-2024-178</t>
  </si>
  <si>
    <t>Devadas, B., Paprotny D., Kreibich H., Steinhausen M., Oostwegel L.J.N., Endendijk T.,  Schoppa L., Domeneghetti, A., Castellarin A., Dottori F., D'Angelo C., Kuiry S.N., Sairam N.</t>
  </si>
  <si>
    <t>Projecting Future Flood Losses to Commercial Assets in Europe: The Role of Precautionary Measures</t>
  </si>
  <si>
    <t>Earth's Future</t>
  </si>
  <si>
    <t>Dal Monte, T., Alessandri, A., Cherchi, A. Gaetani, M.</t>
  </si>
  <si>
    <t>Skilful seasonal predictions of droughts in the Mediterranean region</t>
  </si>
  <si>
    <t>https://doi.org/10.1007/s00382-025-07872-9</t>
  </si>
  <si>
    <r>
      <rPr>
        <sz val="11"/>
        <color rgb="FF000000"/>
        <rFont val="Calibri"/>
        <family val="2"/>
      </rPr>
      <t xml:space="preserve">Dal Monte, T., Alessandri, A., Cherchi, A. Gaetani, M., 2025: Skilful seasonal predictions of droughts in the Mediterranean region. Climate Dynamics 63, 416. </t>
    </r>
    <r>
      <rPr>
        <u/>
        <sz val="11"/>
        <color rgb="FF1155CC"/>
        <rFont val="Calibri"/>
        <family val="2"/>
      </rPr>
      <t>https://doi.org/10.1007/s00382-025-07872-9</t>
    </r>
  </si>
  <si>
    <t>Vohnicky P., E. Dallan, F. Marra, G. Fosser, M. Borga</t>
  </si>
  <si>
    <t>Future precipitation extremes: differential changes from point to catchment scale revealed by a convection-permitting model ensemble</t>
  </si>
  <si>
    <t>10.1016/j.jhydrol.2025.133822</t>
  </si>
  <si>
    <t>Correa-Sánchez N., X.G. Larsén, G. Fosser, E. Dallan, M. Borga, F. Marra</t>
  </si>
  <si>
    <t>Enhanced representation of the power spectra of wind speed in Convection-Permitting Models</t>
  </si>
  <si>
    <t>Wind Energy Science</t>
  </si>
  <si>
    <t>Formenti, P., Giorio, C., Desboeufs, K., Zherebker, A., Gaetani, M., et al.</t>
  </si>
  <si>
    <t>Elemental composition, iron mineralogy, and solubility of anthropogenic and natural mineral dust aerosols in Namibia: a case study analysis from the AEROCLO-sA campaign – Part 2</t>
  </si>
  <si>
    <t>https://doi.org/10.5194/acp-25-16127-2025</t>
  </si>
  <si>
    <r>
      <t xml:space="preserve">Formenti, P., Giorio, C., Desboeufs, K., Zherebker, A., Gaetani, M., Baldo, C., Landrot, G., Montebello, S., Chevaillier, S., Triquet, S., Siour, G., Di Biagio, C., Battaglia, F., Doussin, J.-F., Feron, A., Namwoonde, A., and Piketh, S. J.: Elemental composition, iron mineralogy, and solubility of anthropogenic and natural mineral dust aerosols in Namibia: a case study analysis from the AEROCLO-sA campaign – Part 2, Atmos. Chem. Phys., 25, 16127–16145, </t>
    </r>
    <r>
      <rPr>
        <u/>
        <sz val="11"/>
        <color rgb="FF1155CC"/>
        <rFont val="Calibri"/>
        <family val="2"/>
      </rPr>
      <t>https://doi.org/10.5194/acp-25-16127-2025</t>
    </r>
    <r>
      <rPr>
        <sz val="11"/>
        <color theme="1"/>
        <rFont val="Calibri"/>
        <scheme val="minor"/>
      </rPr>
      <t>, 2025.</t>
    </r>
  </si>
  <si>
    <t>Project</t>
  </si>
  <si>
    <t>Monteleone, B., Fabbri, N., De Bernardi, C., Frey, M.</t>
  </si>
  <si>
    <t>Analisi dell'impatto ambientale dei processi di fonderia (Deliverable 1)</t>
  </si>
  <si>
    <t xml:space="preserve">New recycling process for the foundry sands: innovation aimed to get materials with high added value  </t>
  </si>
  <si>
    <t>SMART: A statistical, machine learning framework for parametric risk transfer (Final report)</t>
  </si>
  <si>
    <t>SMART</t>
  </si>
  <si>
    <t>De Bernardi, C. Frey, M.</t>
  </si>
  <si>
    <t>KME Italy, un Polo dell’Economia Circolare.</t>
  </si>
  <si>
    <t>Teaching Case. Collana di Management and Marketing Cases, SIMA e SIM, Pearson.</t>
  </si>
  <si>
    <t>De Bernardi, C., Casamento, G., Fabbri, N.</t>
  </si>
  <si>
    <t>Dossier Terre Esauste: la Qualifica di Sottoprodotto (action A, task A4)</t>
  </si>
  <si>
    <t>Taramelli, A., Schiavon, E., Gatti, I., Jimenez, M.J., Sapio, S., Arosio, M., Righini, M., Martina, M.</t>
  </si>
  <si>
    <t>NOCTUA - Landscape Monitoring. For Everyone. From Space. Land Observation Model (LOM).Pre-operative services for MapLombardy.</t>
  </si>
  <si>
    <t>NOCTUA</t>
  </si>
  <si>
    <t>Autori</t>
  </si>
  <si>
    <t>Titolo</t>
  </si>
  <si>
    <t>Data pubblicazione</t>
  </si>
  <si>
    <t>URI</t>
  </si>
  <si>
    <t>URL</t>
  </si>
  <si>
    <t>Numero autori</t>
  </si>
  <si>
    <t>ISBN</t>
  </si>
  <si>
    <t>Editore</t>
  </si>
  <si>
    <t>Luogo editore</t>
  </si>
  <si>
    <t>Tipologia</t>
  </si>
  <si>
    <t>Identificativo WOS</t>
  </si>
  <si>
    <t>Identificativo Scopus</t>
  </si>
  <si>
    <t>Identificativo Pubmed</t>
  </si>
  <si>
    <t>Rivista</t>
  </si>
  <si>
    <t>Volume</t>
  </si>
  <si>
    <t>Issue</t>
  </si>
  <si>
    <t>Edizione</t>
  </si>
  <si>
    <t>Book</t>
  </si>
  <si>
    <t>Abstract</t>
  </si>
  <si>
    <t>Prima pagina</t>
  </si>
  <si>
    <t>Ultima pagina</t>
  </si>
  <si>
    <t>Lingua</t>
  </si>
  <si>
    <t>Stato validazione</t>
  </si>
  <si>
    <t>Presenza fulltext</t>
  </si>
  <si>
    <t>Citazione</t>
  </si>
  <si>
    <t>Identificativo ISMN</t>
  </si>
  <si>
    <t>Chericoni, Marco; Fosser, Giorgia; Flaounas, Emmanouil; Gaetani, Marco; Anav, Alessandro</t>
  </si>
  <si>
    <t>https://hdl.handle.net/20.500.12076/22840</t>
  </si>
  <si>
    <t>10.1038/s41612-025-01121-w</t>
  </si>
  <si>
    <t>1 Contributo su Rivista::1.1 Articolo in rivista</t>
  </si>
  <si>
    <t>NPJ CLIMATE AND ATMOSPHERIC SCIENCE</t>
  </si>
  <si>
    <t>eng</t>
  </si>
  <si>
    <t>definitivo</t>
  </si>
  <si>
    <t>nessun file caricato</t>
  </si>
  <si>
    <t>Dal Monte, Thomas; Alessandri, Andrea; Cherchi, Annalisa; Gaetani, Marco</t>
  </si>
  <si>
    <t>https://hdl.handle.net/20.500.12076/22838</t>
  </si>
  <si>
    <t>10.1007/s00382-025-07872-9</t>
  </si>
  <si>
    <t>CLIMATE DYNAMICS</t>
  </si>
  <si>
    <t>Formenti, Paola; Giorio, Chiara; Desboeufs, Karine; Zherebker, Alexander; Gaetani, Marco; Baldo, Clarissa; Landrot, Gautier; Montebello, Simona; Chevaillier, Servanne; Triquet, Sylvain; Siour, Guillaume; Di Biagio, Claudia; Battaglia, Francesco; Doussin, Jean-François; Feron, Anais; Namwoonde, Andreas; John Piketh, Stuart</t>
  </si>
  <si>
    <t>https://hdl.handle.net/20.500.12076/22837</t>
  </si>
  <si>
    <t>10.5194/acp-25-16127-2025</t>
  </si>
  <si>
    <t>ATMOSPHERIC CHEMISTRY AND PHYSICS</t>
  </si>
  <si>
    <t>Massano, Laura T.; Bois, Benjamin; Adrian, Marielle; Fosser, Giorgia; Gaetani, Marco</t>
  </si>
  <si>
    <t>https://hdl.handle.net/20.500.12076/22839</t>
  </si>
  <si>
    <t>10.1016/j.eja.2025.127790</t>
  </si>
  <si>
    <t>EUROPEAN JOURNAL OF AGRONOMY</t>
  </si>
  <si>
    <t>Fosser, Giorgia; Massano, Laura T.; Gaetani, Marco; Caillaud, Cécile</t>
  </si>
  <si>
    <t>Assessing the Impact of Climate and climate Change on Wine Grape Productivity in Italy: The Role of Convection-Permitting Models</t>
  </si>
  <si>
    <t>https://hdl.handle.net/20.500.12076/24502</t>
  </si>
  <si>
    <t>10.5194/egusphere-egu25-10936</t>
  </si>
  <si>
    <t>4 Contributo in Atti di Convegno (Proceeding)::4.2 Abstract in Atti di convegno</t>
  </si>
  <si>
    <t>EGU General Assembly 2025</t>
  </si>
  <si>
    <t>Flamant, Cyrille; Chaboureau, Jean-Pierre; Delanoë, Julien; Gaetani, Marco; Jamet, Cédric; Lavaysse, Christophe; Bock, Olivier; Borne, Maurus; Cazenave, Quitterie; Coutris, Pierre; Cuesta, Juan; Menut, Laurent; Aubry, Clémantyne; Benedetti, Angela; Bosser, Pierre; Bounissou, Sophie; Caudoux, Christophe; Collomb, Hélène; Donal, Thomas; Febvre, Guy; Fehr, Thorsten; Fink, Andreas H.; Formenti, Paola; Gomes Araujo, Nicolau; Knippertz, Peter; Lecuyer, Eric; Neves Andrade, Mateus; Gacial Ngoungué Langué, Cédric; Jonville, Tanguy; Schwarzenboeck, Alfons; Takeishi, Azusa</t>
  </si>
  <si>
    <t>Cyclogenesis in the Tropical Atlantic: First Scientific Highlights from the Clouds–Atmospheric Dynamics–Dust Interactions in West Africa (CADDIWA) Field Campaign</t>
  </si>
  <si>
    <t>https://hdl.handle.net/20.500.12076/19598</t>
  </si>
  <si>
    <t>10.1175/bams-d-23-0230.1</t>
  </si>
  <si>
    <t>WOS:001170884200001</t>
  </si>
  <si>
    <t>2-s2.0-85186127910</t>
  </si>
  <si>
    <t>BULLETIN OF THE AMERICAN METEOROLOGICAL SOCIETY</t>
  </si>
  <si>
    <t>Flamant, Cyrille; Chaboureau, Jean-Pierre; Gaetani, Marco; Schepanski, Kerstin; Formenti, Paola</t>
  </si>
  <si>
    <t>The radiative impact of biomass burning aerosols on dust emissions over Namibia and the long-range transport of smoke observed during the Aerosols, Radiation and Clouds in southern Africa (AEROCLO-sA) campaign</t>
  </si>
  <si>
    <t>https://hdl.handle.net/20.500.12076/16837</t>
  </si>
  <si>
    <t>10.5194/acp-24-4265-2024</t>
  </si>
  <si>
    <t>WOS:001199488300001</t>
  </si>
  <si>
    <t>2-s2.0-85190297731</t>
  </si>
  <si>
    <t>Fosser, Giorgia; Gaetani, Marco; Kendon, Elizabeth J.; Adinolfi, Marianna; Ban, Nikolina; Belušić, Danijel; Caillaud, Cécile; Careto, João A. M.; Coppola, Erika; Demory, Marie-Estelle; de Vries, Hylke; Dobler, Andreas; Feldmann, Hendrik; Goergen, Klaus; Lenderink, Geert; Pichelli, Emanuela; Schär, Christoph; Soares, Pedro M. M.; Somot, Samuel; Tölle, Merja H.</t>
  </si>
  <si>
    <t>https://hdl.handle.net/20.500.12076/16477</t>
  </si>
  <si>
    <t>10.1038/s41612-024-00600-w</t>
  </si>
  <si>
    <t>WOS:001177827400002</t>
  </si>
  <si>
    <t>2-s2.0-85186221341</t>
  </si>
  <si>
    <t>Gaetani, Marco; Messori, Gabriele; Pausata, Francesco S. R.; Tiwari, Shivangi; Carmen Alvarez Castro, M.; Zhang, Qiong</t>
  </si>
  <si>
    <t>https://hdl.handle.net/20.500.12076/18017</t>
  </si>
  <si>
    <t>10.5194/cp-20-1735-2024</t>
  </si>
  <si>
    <t>WOS:001284889500001</t>
  </si>
  <si>
    <t>2-s2.0-85200898963</t>
  </si>
  <si>
    <t>CLIMATE OF THE PAST</t>
  </si>
  <si>
    <t>Massano, Laura T.; Fosser, Giorgia; Gaetani, Marco; Caillaud, Cécile</t>
  </si>
  <si>
    <t>Using a convection-permitting climate model to assess wine grape productivity: two case studies in Italy</t>
  </si>
  <si>
    <t>https://hdl.handle.net/20.500.12076/19538</t>
  </si>
  <si>
    <t>10.5194/nhess-24-4293-2024</t>
  </si>
  <si>
    <t>WOS:001368048700001</t>
  </si>
  <si>
    <t>2-s2.0-85211225761</t>
  </si>
  <si>
    <t>NATURAL HAZARDS AND EARTH SYSTEM SCIENCES</t>
  </si>
  <si>
    <t>Adnan, Mohammed Sarfaraz Gani; White, Christopher; Perugini, Eleonora; Douglas, John; Tubaldi, Enrico; Barnie, Talfan; Jensen, Esther; Roberts, Matthew; Castillo, Natalia; Gaetani, Marco; Arosio, Marcello; Weiland, Frederiek; Martinelli, Mario</t>
  </si>
  <si>
    <t>A framework for investigating multi-hazard interactions to develop a decision-support system for disaster risk management</t>
  </si>
  <si>
    <t>https://hdl.handle.net/20.500.12076/17058</t>
  </si>
  <si>
    <t>10.5194/egusphere-egu24-2689</t>
  </si>
  <si>
    <t>Cadau, Marco; Messori, Gabriele; Gaetani, Marco; Fosser, Giorgia; Bordoni, Simona; Buizza, Roberto; Sannino, Gianmaria</t>
  </si>
  <si>
    <t>The relationship between atmospheric blocking and Arctic-midlatitude thermal gradient</t>
  </si>
  <si>
    <t>https://hdl.handle.net/20.500.12076/17366</t>
  </si>
  <si>
    <t>10.5194/egusphere-egu24-8358</t>
  </si>
  <si>
    <t>de Coëtlogon, Gaëlle; Deroubaix, Adrien; Flamant, Cyrille; Menut, Laurent; Gaetani, Marco</t>
  </si>
  <si>
    <t>Impact of the Guinea coast upwelling on atmospheric dynamics, precipitation and pollutant transport over southern West Africa</t>
  </si>
  <si>
    <t>https://hdl.handle.net/20.500.12076/15917</t>
  </si>
  <si>
    <t>10.5194/acp-23-15507-2023</t>
  </si>
  <si>
    <t>WOS:001168859500001</t>
  </si>
  <si>
    <t>2-s2.0-85183000922</t>
  </si>
  <si>
    <t>Massano, Laura; Fosser, Giorgia; Gaetani, Marco; Bois, Benjamin</t>
  </si>
  <si>
    <t>https://hdl.handle.net/20.500.12076/15437</t>
  </si>
  <si>
    <t>10.1016/j.scitotenv.2023.167134</t>
  </si>
  <si>
    <t>WOS:001088802600001</t>
  </si>
  <si>
    <t>2-s2.0-85172680442</t>
  </si>
  <si>
    <t>SCIENCE OF THE TOTAL ENVIRONMENT</t>
  </si>
  <si>
    <t>: Italy is a world leader for viticulture and wine business with an export valued 7 billion of euros in 2021, and wine being the second most exported product within the national agri-food sector. However, these figures might be threatened by climate change and winegrowers call for more reliable local information on future impacts of climate change on viticulture. The study aims to understand the impact of climate on wine production in Italy using grape productivity data and bioclimatic indices. Using temperature and precipitation observations from the E-OBS gridded dataset, a set of bioclimatic indices recommended by the International Organisation of Vine and Wine guidelines is calculated and correlated with grape productivity data at the regional scale (Nomenclature of territorial units for statistics, NUTS, level 2) over the last 39 years (1980-2019). The study investigates how both long-term change and natural variability of the bioclimatic indices impacted on grape productivity. Both single and multi-regression approaches are applied to assess the portion of grape productivity variability explained by the selected indices. When the single-regression approach is applied, the correlations between bioclimatic indices and grape productivity explain up to the 45 % of total production variability, however they are statistically significant only in few regions. Conversely, the multi-regression approach improves the proportion of variance explained and gives statistically significative results in region where the single regression is not statically significant. The multi-regressive approach shows the added value of considering the interplay of different bioclimatic indices in explaining the overall variability of productivity. The possibility of using bioclimatic indicators as a proxy for grape productivity provides a simple tool that grape growers, wine consortia and policy makers can use to adapt to future climate.</t>
  </si>
  <si>
    <t>Rapella, Lia; Faranda, Davide; Gaetani, Marco; Drobinski, Philippe; Ginesta, Mireia</t>
  </si>
  <si>
    <t>https://hdl.handle.net/20.500.12076/13257</t>
  </si>
  <si>
    <t>https://iopscience.iop.org/article/10.1088/1748-9326/acbdb2</t>
  </si>
  <si>
    <t>10.1088/1748-9326/acbdb2</t>
  </si>
  <si>
    <t>WOS:000945288600001</t>
  </si>
  <si>
    <t>2-s2.0-85149901674</t>
  </si>
  <si>
    <t>ENVIRONMENTAL RESEARCH LETTERS</t>
  </si>
  <si>
    <t>Massano, LAURA TERESA; Fosser, Giorgia; Gaetani, Marco</t>
  </si>
  <si>
    <t>A new interpretation of bioclimatic indices at local scale in Italy</t>
  </si>
  <si>
    <t>https://hdl.handle.net/20.500.12076/14041</t>
  </si>
  <si>
    <t>10.5194/egusphere-egu23-17101</t>
  </si>
  <si>
    <t>4 Contributo in Atti di Convegno (Proceeding)::4.1 Contributo in Atti di convegno</t>
  </si>
  <si>
    <t>Cadau, Marco; Fosser, Giorgia; Bordoni, Simona; Sannino, Gianmaria; Gaetani, Marco</t>
  </si>
  <si>
    <t>On the relationship between Atmospheric Blocking and Arctic Amplification</t>
  </si>
  <si>
    <t>https://hdl.handle.net/20.500.12076/17360</t>
  </si>
  <si>
    <t>10.5194/egusphere-egu23-7466</t>
  </si>
  <si>
    <t>Scott, Wazita; Gaetani, Marco; Fosser, Giorgia</t>
  </si>
  <si>
    <t>Skill assessment of sub-seasonal forecasts of different atmospheric variables related to extreme precipitation events over Italy</t>
  </si>
  <si>
    <t>https://hdl.handle.net/20.500.12076/17361</t>
  </si>
  <si>
    <t>10.5194/egusphere-egu23-10052</t>
  </si>
  <si>
    <t>Flamant, Cyrille; Gaetani, Marco; Chaboureau, Jean-Pierre; Chazette, Patrick; Cuesta, Juan; John Piketh, Stuart; Formenti, Paola</t>
  </si>
  <si>
    <t>https://hdl.handle.net/20.500.12076/11957</t>
  </si>
  <si>
    <t>10.5194/acp-22-5701-2022</t>
  </si>
  <si>
    <t>WOS:000789355200001</t>
  </si>
  <si>
    <t>2-s2.0-85129989544</t>
  </si>
  <si>
    <t>Italian viticulture and climate change</t>
  </si>
  <si>
    <t>https://hdl.handle.net/20.500.12076/14040</t>
  </si>
  <si>
    <t>10.5194/egusphere-egu22-3640</t>
  </si>
  <si>
    <t>Massano, Laura T.; Fosser, Giorgia; Gaetani, Marco</t>
  </si>
  <si>
    <t>Impact of climate variability and change on grape yield in Italy.</t>
  </si>
  <si>
    <t>https://hdl.handle.net/20.500.12076/14039</t>
  </si>
  <si>
    <t>4 Contributo in Atti di Convegno (Proceeding)::4.3 Poster</t>
  </si>
  <si>
    <t>IVES Conference Series, Terclim 2022</t>
  </si>
  <si>
    <t>Chauvigné, Aurélien; Waquet, Fabien; Auriol, Frédérique; Blarel, Luc; Delegove, Cyril; Dubovik, Oleg; Flamant, Cyrille; Gaetani, Marco; Goloub, Philippe; Loisil, Rodrigue; Mallet, Marc; Nicolas, Jean-Marc; Parol, Frédéric; Peers, Fanny; Torres, Benjamin; Formenti, Paola</t>
  </si>
  <si>
    <t>Aerosol above-cloud direct radiative effect and properties in the Namibian region during the AErosol, RadiatiOn, and CLOuds in southern Africa (AEROCLO-sA) field campaign – Multi-Viewing, Multi-Channel, Multi-Polarization (3MI) airborne simulator and sun photometer measurements</t>
  </si>
  <si>
    <t>http://hdl.handle.net/20.500.12076/10035</t>
  </si>
  <si>
    <t>10.5194/acp-21-8233-2021</t>
  </si>
  <si>
    <t>WOS:000657306900001</t>
  </si>
  <si>
    <t>2-s2.0-85106973790</t>
  </si>
  <si>
    <t>Gaetani, Marco; Pohl, Benjamin; del Carmen Alvarez Castro, Maria; Flamant, Cyrille; Formenti, Paola</t>
  </si>
  <si>
    <t>https://hdl.handle.net/20.500.12076/10817</t>
  </si>
  <si>
    <t>10.5194/acp-21-16575-2021</t>
  </si>
  <si>
    <t>WOS:000720121100001</t>
  </si>
  <si>
    <t>2-s2.0-85119477215</t>
  </si>
  <si>
    <t>Kodera, Kunihiko; Eguchi, Nawo; Ueyama, Rei; Funatsu, Beatriz M.; Gaetani, Marco; Taylor, Christopher M.</t>
  </si>
  <si>
    <t>The Impact of Tropical Tropopause Cooling on Sahelian Extreme Deep Convection</t>
  </si>
  <si>
    <t>http://hdl.handle.net/20.500.12076/10678</t>
  </si>
  <si>
    <t>10.2151/jmsj.2021-055</t>
  </si>
  <si>
    <t>WOS:000686549400006</t>
  </si>
  <si>
    <t>2-s2.0-85113704911</t>
  </si>
  <si>
    <t>JOURNAL OF THE METEOROLOGICAL SOCIETY OF JAPAN</t>
  </si>
  <si>
    <t>Monerie, Paul-Arthur; Pohl, Benjamin; Gaetani, Marco</t>
  </si>
  <si>
    <t>https://hdl.handle.net/20.500.12076/9715</t>
  </si>
  <si>
    <t>10.1038/s41612-021-00179-6</t>
  </si>
  <si>
    <t>WOS:000637495900001</t>
  </si>
  <si>
    <t>2-s2.0-85103988374</t>
  </si>
  <si>
    <t>Selami, Nada; S(`(e))ze, Genevi(`(e))ve; Gaetani, Marco; Grandpeix, Jean-Yves; Flamant, Cyrille; Cuesta, Juan; Benabadji, Noureddine</t>
  </si>
  <si>
    <t>http://hdl.handle.net/20.500.12076/9595</t>
  </si>
  <si>
    <t>10.3390/atmos12040428</t>
  </si>
  <si>
    <t>WOS:000642728300001</t>
  </si>
  <si>
    <t>2-s2.0-85103906361</t>
  </si>
  <si>
    <t>ATMOSPHERE</t>
  </si>
  <si>
    <t>Di Biagio, Claudia; Banks, Jamie R.; Gaetani, Marco</t>
  </si>
  <si>
    <t>http://hdl.handle.net/20.500.12076/10676</t>
  </si>
  <si>
    <t>10.1016/B978-0-12-818234-5.00033-X</t>
  </si>
  <si>
    <t>2 Contributo in Volume::2.1 Contributo in volume (Capitolo o Saggio)</t>
  </si>
  <si>
    <t>2-s2.0-85140986725</t>
  </si>
  <si>
    <t>carisma 1st author</t>
  </si>
  <si>
    <t>carisma other authors (1)</t>
  </si>
  <si>
    <t>carisma other authors (2)</t>
  </si>
  <si>
    <t>carisma other authors (3)</t>
  </si>
  <si>
    <t>carisma other authors (4)</t>
  </si>
  <si>
    <t>M. Gaetani</t>
  </si>
  <si>
    <t>Giorgia Fosser</t>
  </si>
  <si>
    <t>Gaetani, M.</t>
  </si>
  <si>
    <t>Cesarini, L.</t>
  </si>
  <si>
    <t>Monteleone, B.</t>
  </si>
  <si>
    <t>Martina, M.</t>
  </si>
  <si>
    <t>Arosio M.</t>
  </si>
  <si>
    <t>Martina M.L.V.</t>
  </si>
  <si>
    <t>Cesarini L.</t>
  </si>
  <si>
    <t>De Bernardi, C.</t>
  </si>
  <si>
    <t>Bateni M.</t>
  </si>
  <si>
    <t>M. Martina</t>
  </si>
  <si>
    <t>M. Arosio</t>
  </si>
  <si>
    <t>Caiani, A.</t>
  </si>
  <si>
    <t>Gatti, I.</t>
  </si>
  <si>
    <t>Taramelli, A.</t>
  </si>
  <si>
    <t>G. Fosser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</si>
</sst>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scheme val="minor"/>
    </font>
    <font>
      <b/>
      <sz val="11"/>
      <color rgb="FF000000"/>
      <name val="Calibri"/>
      <family val="2"/>
    </font>
    <font>
      <sz val="11"/>
      <color rgb="FF000000"/>
      <name val="Calibri"/>
      <family val="2"/>
    </font>
    <font>
      <u/>
      <sz val="11"/>
      <color rgb="FF000000"/>
      <name val="Calibri"/>
      <family val="2"/>
    </font>
    <font>
      <u/>
      <sz val="11"/>
      <color rgb="FF000000"/>
      <name val="Calibri"/>
      <family val="2"/>
    </font>
    <font>
      <u/>
      <sz val="11"/>
      <color rgb="FF000000"/>
      <name val="Calibri"/>
      <family val="2"/>
    </font>
    <font>
      <u/>
      <sz val="11"/>
      <color rgb="FF000000"/>
      <name val="Calibri"/>
      <family val="2"/>
    </font>
    <font>
      <u/>
      <sz val="11"/>
      <color rgb="FF000000"/>
      <name val="Calibri"/>
      <family val="2"/>
    </font>
    <font>
      <u/>
      <sz val="11"/>
      <color rgb="FF000000"/>
      <name val="Calibri"/>
      <family val="2"/>
    </font>
    <font>
      <u/>
      <sz val="11"/>
      <color rgb="FF000000"/>
      <name val="Calibri"/>
      <family val="2"/>
    </font>
    <font>
      <sz val="11"/>
      <color theme="1"/>
      <name val="Calibri"/>
      <family val="2"/>
    </font>
    <font>
      <u/>
      <sz val="11"/>
      <color rgb="FF0563C1"/>
      <name val="Calibri"/>
      <family val="2"/>
    </font>
    <font>
      <u/>
      <sz val="11"/>
      <color rgb="FF0000FF"/>
      <name val="Calibri"/>
      <family val="2"/>
    </font>
    <font>
      <u/>
      <sz val="11"/>
      <color rgb="FF0000FF"/>
      <name val="Calibri"/>
      <family val="2"/>
    </font>
    <font>
      <sz val="11"/>
      <color theme="1"/>
      <name val="Calibri"/>
      <family val="2"/>
      <scheme val="minor"/>
    </font>
    <font>
      <u/>
      <sz val="11"/>
      <color rgb="FF0000FF"/>
      <name val="Calibri"/>
      <family val="2"/>
    </font>
    <font>
      <b/>
      <sz val="11"/>
      <color theme="1"/>
      <name val="Calibri"/>
      <family val="2"/>
    </font>
    <font>
      <sz val="11"/>
      <color rgb="FF000000"/>
      <name val="&quot;Aptos Narrow&quot;"/>
    </font>
    <font>
      <u/>
      <sz val="11"/>
      <color rgb="FF000000"/>
      <name val="&quot;Aptos Narrow&quot;"/>
    </font>
    <font>
      <u/>
      <sz val="11"/>
      <color rgb="FF1155CC"/>
      <name val="Calibri"/>
      <family val="2"/>
    </font>
    <font>
      <sz val="11"/>
      <color rgb="FF00000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FCFCFC"/>
        <bgColor rgb="FFFCFCFC"/>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xf numFmtId="0" fontId="2" fillId="2" borderId="0" xfId="0" applyFont="1" applyFill="1" applyAlignment="1">
      <alignment horizontal="left"/>
    </xf>
    <xf numFmtId="0" fontId="2" fillId="0" borderId="0" xfId="0" applyFont="1" applyAlignment="1">
      <alignment horizontal="left"/>
    </xf>
    <xf numFmtId="0" fontId="4" fillId="0" borderId="0" xfId="0" applyFont="1"/>
    <xf numFmtId="0" fontId="5" fillId="0" borderId="0" xfId="0" applyFont="1"/>
    <xf numFmtId="0" fontId="6" fillId="2" borderId="0" xfId="0" applyFont="1" applyFill="1" applyAlignment="1">
      <alignment wrapText="1"/>
    </xf>
    <xf numFmtId="0" fontId="7" fillId="3" borderId="0" xfId="0" applyFont="1" applyFill="1"/>
    <xf numFmtId="0" fontId="8" fillId="0" borderId="0" xfId="0" applyFont="1"/>
    <xf numFmtId="0" fontId="2" fillId="2" borderId="0" xfId="0" applyFont="1" applyFill="1"/>
    <xf numFmtId="0" fontId="9" fillId="3" borderId="0" xfId="0" applyFont="1" applyFill="1" applyAlignment="1">
      <alignment horizontal="left"/>
    </xf>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20"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80/09535314.2023.2213394" TargetMode="External"/><Relationship Id="rId21" Type="http://schemas.openxmlformats.org/officeDocument/2006/relationships/hyperlink" Target="https://doi.org/10.5194/nhess-22-3543-2022" TargetMode="External"/><Relationship Id="rId42" Type="http://schemas.openxmlformats.org/officeDocument/2006/relationships/hyperlink" Target="https://doi.org/10.5194/cp-20-1735-2024." TargetMode="External"/><Relationship Id="rId47" Type="http://schemas.openxmlformats.org/officeDocument/2006/relationships/hyperlink" Target="https://doi.org/10.5194/hess-28-3983-2024" TargetMode="External"/><Relationship Id="rId63" Type="http://schemas.openxmlformats.org/officeDocument/2006/relationships/hyperlink" Target="https://doi.org/10.1038/s41612-025-01121-w" TargetMode="External"/><Relationship Id="rId68" Type="http://schemas.openxmlformats.org/officeDocument/2006/relationships/hyperlink" Target="https://doi.org/10.5194/acp-25-16127-2025" TargetMode="External"/><Relationship Id="rId7" Type="http://schemas.openxmlformats.org/officeDocument/2006/relationships/hyperlink" Target="https://doi.org/10.5194/acp-21-16575-2021" TargetMode="External"/><Relationship Id="rId2" Type="http://schemas.openxmlformats.org/officeDocument/2006/relationships/hyperlink" Target="https://doi.org/10.1038/s41612-021-00179-6" TargetMode="External"/><Relationship Id="rId16" Type="http://schemas.openxmlformats.org/officeDocument/2006/relationships/hyperlink" Target="https://doi.org/10.1016/j.jclepro.2022.131306" TargetMode="External"/><Relationship Id="rId29" Type="http://schemas.openxmlformats.org/officeDocument/2006/relationships/hyperlink" Target="https://doi.org/10.5194/acp-23-15507-2023" TargetMode="External"/><Relationship Id="rId11" Type="http://schemas.openxmlformats.org/officeDocument/2006/relationships/hyperlink" Target="https://journals.aom.org/doi/10.5465/AMBPP.2021.11773abstract" TargetMode="External"/><Relationship Id="rId24" Type="http://schemas.openxmlformats.org/officeDocument/2006/relationships/hyperlink" Target="https://doi.org/10.5194/hess-27-1133-2023" TargetMode="External"/><Relationship Id="rId32" Type="http://schemas.openxmlformats.org/officeDocument/2006/relationships/hyperlink" Target="https://doi.org/10.1016/j.jweia.2022.105268" TargetMode="External"/><Relationship Id="rId37" Type="http://schemas.openxmlformats.org/officeDocument/2006/relationships/hyperlink" Target="https://doi.org/10.1016/j.uclim.2023.101659" TargetMode="External"/><Relationship Id="rId40" Type="http://schemas.openxmlformats.org/officeDocument/2006/relationships/hyperlink" Target="https://doi.org/10.1038/s41612-024-00600-w" TargetMode="External"/><Relationship Id="rId45" Type="http://schemas.openxmlformats.org/officeDocument/2006/relationships/hyperlink" Target="https://doi.org/10.1029/2024EF005185" TargetMode="External"/><Relationship Id="rId53" Type="http://schemas.openxmlformats.org/officeDocument/2006/relationships/hyperlink" Target="https://doi.org/10.1016/j.jenvman.2024.122698" TargetMode="External"/><Relationship Id="rId58" Type="http://schemas.openxmlformats.org/officeDocument/2006/relationships/hyperlink" Target="https://doi.org/10.5194/hess-29-1221-2025" TargetMode="External"/><Relationship Id="rId66" Type="http://schemas.openxmlformats.org/officeDocument/2006/relationships/hyperlink" Target="https://doi.org/10.1007/s00382-025-07872-9" TargetMode="External"/><Relationship Id="rId5" Type="http://schemas.openxmlformats.org/officeDocument/2006/relationships/hyperlink" Target="https://doi.org/10.1016/B978-0-12-818234-5.00033-X" TargetMode="External"/><Relationship Id="rId61" Type="http://schemas.openxmlformats.org/officeDocument/2006/relationships/hyperlink" Target="https://doi.org/10.1002/wcc.70005" TargetMode="External"/><Relationship Id="rId19" Type="http://schemas.openxmlformats.org/officeDocument/2006/relationships/hyperlink" Target="https://doi.org/10.1093/icc/dtac003" TargetMode="External"/><Relationship Id="rId14" Type="http://schemas.openxmlformats.org/officeDocument/2006/relationships/hyperlink" Target="https://doi.org/10.1016/j.agwat.2022.107713" TargetMode="External"/><Relationship Id="rId22" Type="http://schemas.openxmlformats.org/officeDocument/2006/relationships/hyperlink" Target="https://doi.org/10.1007/s11069-022-05791-0" TargetMode="External"/><Relationship Id="rId27" Type="http://schemas.openxmlformats.org/officeDocument/2006/relationships/hyperlink" Target="https://doi.org/10.1016/j.scitotenv.2023.167134" TargetMode="External"/><Relationship Id="rId30" Type="http://schemas.openxmlformats.org/officeDocument/2006/relationships/hyperlink" Target="https://doi.org/10.3390/w15111980" TargetMode="External"/><Relationship Id="rId35" Type="http://schemas.openxmlformats.org/officeDocument/2006/relationships/hyperlink" Target="https://doi.org/10.1016/j.jweia.2023.105327" TargetMode="External"/><Relationship Id="rId43" Type="http://schemas.openxmlformats.org/officeDocument/2006/relationships/hyperlink" Target="https://doi.org/10.5194/cp-20-1735-2024." TargetMode="External"/><Relationship Id="rId48" Type="http://schemas.openxmlformats.org/officeDocument/2006/relationships/hyperlink" Target="https://doi.org/10.1016/j.compag.2024.108933" TargetMode="External"/><Relationship Id="rId56" Type="http://schemas.openxmlformats.org/officeDocument/2006/relationships/hyperlink" Target="https://doi.org/10.1016/j.ijdrr.2024.104755" TargetMode="External"/><Relationship Id="rId64" Type="http://schemas.openxmlformats.org/officeDocument/2006/relationships/hyperlink" Target="https://doi.org/10.1016/j.eja.2025.127790" TargetMode="External"/><Relationship Id="rId69" Type="http://schemas.openxmlformats.org/officeDocument/2006/relationships/hyperlink" Target="https://doi.org/10.5194/acp-25-16127-2025" TargetMode="External"/><Relationship Id="rId8" Type="http://schemas.openxmlformats.org/officeDocument/2006/relationships/hyperlink" Target="https://doi.org/10.5194/nhess-21-2379-2021" TargetMode="External"/><Relationship Id="rId51" Type="http://schemas.openxmlformats.org/officeDocument/2006/relationships/hyperlink" Target="https://doi.org/10.1016/j.compfluid.2024.106393" TargetMode="External"/><Relationship Id="rId3" Type="http://schemas.openxmlformats.org/officeDocument/2006/relationships/hyperlink" Target="https://doi.org/10.5194/acp-21-8233-2021" TargetMode="External"/><Relationship Id="rId12" Type="http://schemas.openxmlformats.org/officeDocument/2006/relationships/hyperlink" Target="https://doi.org/10.1177/0899764020948615" TargetMode="External"/><Relationship Id="rId17" Type="http://schemas.openxmlformats.org/officeDocument/2006/relationships/hyperlink" Target="https://doi.org/10.1007/s11069-022-05413-9" TargetMode="External"/><Relationship Id="rId25" Type="http://schemas.openxmlformats.org/officeDocument/2006/relationships/hyperlink" Target="https://doi.org/10.1080/00343404.2023.2189508" TargetMode="External"/><Relationship Id="rId33" Type="http://schemas.openxmlformats.org/officeDocument/2006/relationships/hyperlink" Target="https://doi.org/10.1007/978-981-19-9822-5_188" TargetMode="External"/><Relationship Id="rId38" Type="http://schemas.openxmlformats.org/officeDocument/2006/relationships/hyperlink" Target="https://doi.org/10.1175/BAMS-D-23-0230.1" TargetMode="External"/><Relationship Id="rId46" Type="http://schemas.openxmlformats.org/officeDocument/2006/relationships/hyperlink" Target="https://doi.org/10.1029/2023WR035969" TargetMode="External"/><Relationship Id="rId59" Type="http://schemas.openxmlformats.org/officeDocument/2006/relationships/hyperlink" Target="https://doi.org/10.1063/5.0260452" TargetMode="External"/><Relationship Id="rId67" Type="http://schemas.openxmlformats.org/officeDocument/2006/relationships/hyperlink" Target="https://doi.org/10.1007/s00382-025-07872-9" TargetMode="External"/><Relationship Id="rId20" Type="http://schemas.openxmlformats.org/officeDocument/2006/relationships/hyperlink" Target="https://doi.org/10.1007/978-3-031-04532-5_29" TargetMode="External"/><Relationship Id="rId41" Type="http://schemas.openxmlformats.org/officeDocument/2006/relationships/hyperlink" Target="https://doi.org/10.1038/s41612-024-00600-w" TargetMode="External"/><Relationship Id="rId54" Type="http://schemas.openxmlformats.org/officeDocument/2006/relationships/hyperlink" Target="https://doi.org/10.1016/j.scitotenv.2024.177099" TargetMode="External"/><Relationship Id="rId62" Type="http://schemas.openxmlformats.org/officeDocument/2006/relationships/hyperlink" Target="https://doi.org/10.1016/j.jhydrol.2025.133324" TargetMode="External"/><Relationship Id="rId1" Type="http://schemas.openxmlformats.org/officeDocument/2006/relationships/hyperlink" Target="https://doi.org/10.3390/atmos12040428" TargetMode="External"/><Relationship Id="rId6" Type="http://schemas.openxmlformats.org/officeDocument/2006/relationships/hyperlink" Target="https://doi.org/10.1098/rsta.2019.0542" TargetMode="External"/><Relationship Id="rId15" Type="http://schemas.openxmlformats.org/officeDocument/2006/relationships/hyperlink" Target="https://doi.org/10.1016/j.tourman.2021.104439" TargetMode="External"/><Relationship Id="rId23" Type="http://schemas.openxmlformats.org/officeDocument/2006/relationships/hyperlink" Target="https://doi.org/10.1088/1748-9326/acbdb2" TargetMode="External"/><Relationship Id="rId28" Type="http://schemas.openxmlformats.org/officeDocument/2006/relationships/hyperlink" Target="https://doi.org/10.1007/s00382-023-06853-0" TargetMode="External"/><Relationship Id="rId36" Type="http://schemas.openxmlformats.org/officeDocument/2006/relationships/hyperlink" Target="https://doi.org/10.1016/j.jweia.2023.105442" TargetMode="External"/><Relationship Id="rId49" Type="http://schemas.openxmlformats.org/officeDocument/2006/relationships/hyperlink" Target="https://doi.org/10.1093/icc/dtae006" TargetMode="External"/><Relationship Id="rId57" Type="http://schemas.openxmlformats.org/officeDocument/2006/relationships/hyperlink" Target="https://doi.org/10.1016/j.jebo.2025.106896" TargetMode="External"/><Relationship Id="rId10" Type="http://schemas.openxmlformats.org/officeDocument/2006/relationships/hyperlink" Target="https://doi.org/10.3390/hydrology8030142" TargetMode="External"/><Relationship Id="rId31" Type="http://schemas.openxmlformats.org/officeDocument/2006/relationships/hyperlink" Target="https://doi.org/10.1016/j.agwat.2023.108444" TargetMode="External"/><Relationship Id="rId44" Type="http://schemas.openxmlformats.org/officeDocument/2006/relationships/hyperlink" Target="https://doi.org/10.5194/nhess-24-4293-2024." TargetMode="External"/><Relationship Id="rId52" Type="http://schemas.openxmlformats.org/officeDocument/2006/relationships/hyperlink" Target="https://doi.org/10.1016/j.buildenv.2024.111950" TargetMode="External"/><Relationship Id="rId60" Type="http://schemas.openxmlformats.org/officeDocument/2006/relationships/hyperlink" Target="https://doi.org/10.1016/j.buildenv.2025.112664" TargetMode="External"/><Relationship Id="rId65" Type="http://schemas.openxmlformats.org/officeDocument/2006/relationships/hyperlink" Target="https://doi.org/10.5194/nhess-2024-178" TargetMode="External"/><Relationship Id="rId4" Type="http://schemas.openxmlformats.org/officeDocument/2006/relationships/hyperlink" Target="https://doi.org/10.2151/jmsj.2021-055" TargetMode="External"/><Relationship Id="rId9" Type="http://schemas.openxmlformats.org/officeDocument/2006/relationships/hyperlink" Target="https://doi.org/10.3390/w13202830" TargetMode="External"/><Relationship Id="rId13" Type="http://schemas.openxmlformats.org/officeDocument/2006/relationships/hyperlink" Target="https://doi.org/10.5194/acp-22-5701-2022." TargetMode="External"/><Relationship Id="rId18" Type="http://schemas.openxmlformats.org/officeDocument/2006/relationships/hyperlink" Target="https://doi.org/10.1016/j.jebo.2022.05.025" TargetMode="External"/><Relationship Id="rId39" Type="http://schemas.openxmlformats.org/officeDocument/2006/relationships/hyperlink" Target="https://doi.org/10.5194/egusphere-2023-2371" TargetMode="External"/><Relationship Id="rId34" Type="http://schemas.openxmlformats.org/officeDocument/2006/relationships/hyperlink" Target="https://doi.org/10.1007/978-981-19-9822-5_5" TargetMode="External"/><Relationship Id="rId50" Type="http://schemas.openxmlformats.org/officeDocument/2006/relationships/hyperlink" Target="https://doi.org/10.1016/j.jweia.2024.105711" TargetMode="External"/><Relationship Id="rId55" Type="http://schemas.openxmlformats.org/officeDocument/2006/relationships/hyperlink" Target="https://doi.org/10.3390/land1302014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hdl.handle.net/20.500.12076/16837" TargetMode="External"/><Relationship Id="rId13" Type="http://schemas.openxmlformats.org/officeDocument/2006/relationships/hyperlink" Target="https://hdl.handle.net/20.500.12076/17366" TargetMode="External"/><Relationship Id="rId18" Type="http://schemas.openxmlformats.org/officeDocument/2006/relationships/hyperlink" Target="https://hdl.handle.net/20.500.12076/14041" TargetMode="External"/><Relationship Id="rId26" Type="http://schemas.openxmlformats.org/officeDocument/2006/relationships/hyperlink" Target="http://hdl.handle.net/20.500.12076/10678" TargetMode="External"/><Relationship Id="rId3" Type="http://schemas.openxmlformats.org/officeDocument/2006/relationships/hyperlink" Target="https://hdl.handle.net/20.500.12076/22837" TargetMode="External"/><Relationship Id="rId21" Type="http://schemas.openxmlformats.org/officeDocument/2006/relationships/hyperlink" Target="https://hdl.handle.net/20.500.12076/11957" TargetMode="External"/><Relationship Id="rId7" Type="http://schemas.openxmlformats.org/officeDocument/2006/relationships/hyperlink" Target="https://doi.org/10.1175/BAMS-D-23-0230.1" TargetMode="External"/><Relationship Id="rId12" Type="http://schemas.openxmlformats.org/officeDocument/2006/relationships/hyperlink" Target="https://hdl.handle.net/20.500.12076/17058" TargetMode="External"/><Relationship Id="rId17" Type="http://schemas.openxmlformats.org/officeDocument/2006/relationships/hyperlink" Target="https://iopscience.iop.org/article/10.1088/1748-9326/acbdb2" TargetMode="External"/><Relationship Id="rId25" Type="http://schemas.openxmlformats.org/officeDocument/2006/relationships/hyperlink" Target="https://hdl.handle.net/20.500.12076/10817" TargetMode="External"/><Relationship Id="rId2" Type="http://schemas.openxmlformats.org/officeDocument/2006/relationships/hyperlink" Target="https://hdl.handle.net/20.500.12076/22838" TargetMode="External"/><Relationship Id="rId16" Type="http://schemas.openxmlformats.org/officeDocument/2006/relationships/hyperlink" Target="https://hdl.handle.net/20.500.12076/13257" TargetMode="External"/><Relationship Id="rId20" Type="http://schemas.openxmlformats.org/officeDocument/2006/relationships/hyperlink" Target="https://hdl.handle.net/20.500.12076/17361" TargetMode="External"/><Relationship Id="rId29" Type="http://schemas.openxmlformats.org/officeDocument/2006/relationships/hyperlink" Target="http://hdl.handle.net/20.500.12076/10676" TargetMode="External"/><Relationship Id="rId1" Type="http://schemas.openxmlformats.org/officeDocument/2006/relationships/hyperlink" Target="https://hdl.handle.net/20.500.12076/22840" TargetMode="External"/><Relationship Id="rId6" Type="http://schemas.openxmlformats.org/officeDocument/2006/relationships/hyperlink" Target="https://hdl.handle.net/20.500.12076/19598" TargetMode="External"/><Relationship Id="rId11" Type="http://schemas.openxmlformats.org/officeDocument/2006/relationships/hyperlink" Target="https://hdl.handle.net/20.500.12076/19538" TargetMode="External"/><Relationship Id="rId24" Type="http://schemas.openxmlformats.org/officeDocument/2006/relationships/hyperlink" Target="http://hdl.handle.net/20.500.12076/10035" TargetMode="External"/><Relationship Id="rId5" Type="http://schemas.openxmlformats.org/officeDocument/2006/relationships/hyperlink" Target="https://hdl.handle.net/20.500.12076/24502" TargetMode="External"/><Relationship Id="rId15" Type="http://schemas.openxmlformats.org/officeDocument/2006/relationships/hyperlink" Target="https://hdl.handle.net/20.500.12076/15437" TargetMode="External"/><Relationship Id="rId23" Type="http://schemas.openxmlformats.org/officeDocument/2006/relationships/hyperlink" Target="https://hdl.handle.net/20.500.12076/14039" TargetMode="External"/><Relationship Id="rId28" Type="http://schemas.openxmlformats.org/officeDocument/2006/relationships/hyperlink" Target="http://hdl.handle.net/20.500.12076/9595" TargetMode="External"/><Relationship Id="rId10" Type="http://schemas.openxmlformats.org/officeDocument/2006/relationships/hyperlink" Target="https://hdl.handle.net/20.500.12076/18017" TargetMode="External"/><Relationship Id="rId19" Type="http://schemas.openxmlformats.org/officeDocument/2006/relationships/hyperlink" Target="https://hdl.handle.net/20.500.12076/17360" TargetMode="External"/><Relationship Id="rId4" Type="http://schemas.openxmlformats.org/officeDocument/2006/relationships/hyperlink" Target="https://hdl.handle.net/20.500.12076/22839" TargetMode="External"/><Relationship Id="rId9" Type="http://schemas.openxmlformats.org/officeDocument/2006/relationships/hyperlink" Target="https://hdl.handle.net/20.500.12076/16477" TargetMode="External"/><Relationship Id="rId14" Type="http://schemas.openxmlformats.org/officeDocument/2006/relationships/hyperlink" Target="https://hdl.handle.net/20.500.12076/15917" TargetMode="External"/><Relationship Id="rId22" Type="http://schemas.openxmlformats.org/officeDocument/2006/relationships/hyperlink" Target="https://hdl.handle.net/20.500.12076/14040" TargetMode="External"/><Relationship Id="rId27" Type="http://schemas.openxmlformats.org/officeDocument/2006/relationships/hyperlink" Target="https://hdl.handle.net/20.500.12076/97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105"/>
  <sheetViews>
    <sheetView tabSelected="1" topLeftCell="A18" zoomScale="182" workbookViewId="0">
      <selection activeCell="B26" sqref="B26"/>
    </sheetView>
  </sheetViews>
  <sheetFormatPr baseColWidth="10" defaultColWidth="14.5" defaultRowHeight="15" customHeight="1"/>
  <cols>
    <col min="6" max="6" width="171.5" customWidth="1"/>
    <col min="7" max="7" width="89.33203125" customWidth="1"/>
    <col min="8" max="8" width="41.33203125" customWidth="1"/>
    <col min="9" max="9" width="5.5" customWidth="1"/>
    <col min="10" max="10" width="50.5" customWidth="1"/>
    <col min="11" max="32" width="22.6640625" customWidth="1"/>
  </cols>
  <sheetData>
    <row r="1" spans="1:32">
      <c r="A1" s="17" t="s">
        <v>480</v>
      </c>
      <c r="B1" t="s">
        <v>481</v>
      </c>
      <c r="C1" s="17" t="s">
        <v>482</v>
      </c>
      <c r="D1" s="17" t="s">
        <v>483</v>
      </c>
      <c r="E1" s="22" t="s">
        <v>484</v>
      </c>
      <c r="F1" s="1" t="s">
        <v>0</v>
      </c>
      <c r="G1" s="1" t="s">
        <v>1</v>
      </c>
      <c r="H1" s="1" t="s">
        <v>2</v>
      </c>
      <c r="I1" s="1" t="s">
        <v>3</v>
      </c>
      <c r="J1" s="1" t="s">
        <v>4</v>
      </c>
      <c r="K1" s="1" t="s">
        <v>5</v>
      </c>
      <c r="L1" s="1"/>
      <c r="M1" s="1"/>
      <c r="N1" s="1"/>
      <c r="O1" s="1"/>
      <c r="P1" s="1"/>
      <c r="Q1" s="1"/>
      <c r="R1" s="1"/>
      <c r="S1" s="1"/>
      <c r="T1" s="1"/>
      <c r="U1" s="1"/>
      <c r="V1" s="1"/>
      <c r="W1" s="1"/>
      <c r="X1" s="1"/>
      <c r="Y1" s="1"/>
      <c r="Z1" s="1"/>
      <c r="AA1" s="1"/>
      <c r="AB1" s="1"/>
      <c r="AC1" s="1"/>
      <c r="AD1" s="1"/>
      <c r="AE1" s="1"/>
      <c r="AF1" s="1"/>
    </row>
    <row r="2" spans="1:32">
      <c r="A2" s="17" t="s">
        <v>485</v>
      </c>
      <c r="F2" s="2" t="s">
        <v>6</v>
      </c>
      <c r="G2" s="2" t="s">
        <v>7</v>
      </c>
      <c r="H2" s="2" t="s">
        <v>8</v>
      </c>
      <c r="I2" s="2">
        <v>2021</v>
      </c>
      <c r="J2" s="3" t="s">
        <v>9</v>
      </c>
      <c r="K2" s="2" t="str">
        <f t="shared" ref="K2:K11" si="0">+CONCATENATE(F2,", ",G2,", ",H2,", ",I2,", ",J2)</f>
        <v>Selami N., G. Sèze, M. Gaetani, J.Y. Grandpeix, C. Flamant, J. Cuesta, N. Benabadji, Cloud Cover over the Sahara during the Summer and Associated Circulation Features, Atmosphere, 2021, https://doi.org/10.3390/atmos12040428</v>
      </c>
      <c r="L2" s="2"/>
      <c r="M2" s="2"/>
      <c r="N2" s="2"/>
      <c r="O2" s="2"/>
      <c r="P2" s="2"/>
      <c r="Q2" s="2"/>
      <c r="R2" s="2"/>
      <c r="S2" s="2"/>
      <c r="T2" s="2"/>
      <c r="U2" s="2"/>
      <c r="V2" s="2"/>
      <c r="W2" s="2"/>
      <c r="X2" s="2"/>
      <c r="Y2" s="2"/>
      <c r="Z2" s="2"/>
      <c r="AA2" s="2"/>
      <c r="AB2" s="2"/>
      <c r="AC2" s="2"/>
      <c r="AD2" s="2"/>
      <c r="AE2" s="2"/>
      <c r="AF2" s="2"/>
    </row>
    <row r="3" spans="1:32">
      <c r="A3" s="17" t="s">
        <v>485</v>
      </c>
      <c r="F3" s="2" t="s">
        <v>10</v>
      </c>
      <c r="G3" s="2" t="s">
        <v>11</v>
      </c>
      <c r="H3" s="2" t="s">
        <v>12</v>
      </c>
      <c r="I3" s="2">
        <v>2021</v>
      </c>
      <c r="J3" s="3" t="s">
        <v>13</v>
      </c>
      <c r="K3" s="2" t="str">
        <f t="shared" si="0"/>
        <v>Monerie P.A., B. Pohl, M. Gaetani, The fast response of Sahel precipitation to climate change allows effective mitigation action, npj Climate and Atmospheric Science, 2021, https://doi.org/10.1038/s41612-021-00179-6</v>
      </c>
      <c r="L3" s="2"/>
      <c r="M3" s="2"/>
      <c r="N3" s="2"/>
      <c r="O3" s="2"/>
      <c r="P3" s="2"/>
      <c r="Q3" s="2"/>
      <c r="R3" s="2"/>
      <c r="S3" s="2"/>
      <c r="T3" s="2"/>
      <c r="U3" s="2"/>
      <c r="V3" s="2"/>
      <c r="W3" s="2"/>
      <c r="X3" s="2"/>
      <c r="Y3" s="2"/>
      <c r="Z3" s="2"/>
      <c r="AA3" s="2"/>
      <c r="AB3" s="2"/>
      <c r="AC3" s="2"/>
      <c r="AD3" s="2"/>
      <c r="AE3" s="2"/>
      <c r="AF3" s="2"/>
    </row>
    <row r="4" spans="1:32">
      <c r="A4" s="17" t="s">
        <v>485</v>
      </c>
      <c r="F4" s="2" t="s">
        <v>14</v>
      </c>
      <c r="G4" s="2" t="s">
        <v>15</v>
      </c>
      <c r="H4" s="2" t="s">
        <v>16</v>
      </c>
      <c r="I4" s="2">
        <v>2021</v>
      </c>
      <c r="J4" s="3" t="s">
        <v>17</v>
      </c>
      <c r="K4" s="2" t="str">
        <f t="shared" si="0"/>
        <v>Chauvigné A., F. Waquet, F. Auriol, L. Blarel, C. Delegove, O. Dubovik, C. Flamant, M. Gaetani, P. Goloub, R. Loisil, M. Mallet, J.M. Nicolas, F. Parol, F. Peers, B. Torres, P. Formenti, Aerosol and cloud properties in the Namibian region during AEROCLO-sA field campaign: 3MI airborne simulator and sun-photometer measurements, Atmospheric Chemistry and Physics, 2021, https://doi.org/10.5194/acp-21-8233-2021</v>
      </c>
      <c r="L4" s="2"/>
      <c r="M4" s="2"/>
      <c r="N4" s="2"/>
      <c r="O4" s="2"/>
      <c r="P4" s="2"/>
      <c r="Q4" s="2"/>
      <c r="R4" s="2"/>
      <c r="S4" s="2"/>
      <c r="T4" s="2"/>
      <c r="U4" s="2"/>
      <c r="V4" s="2"/>
      <c r="W4" s="2"/>
      <c r="X4" s="2"/>
      <c r="Y4" s="2"/>
      <c r="Z4" s="2"/>
      <c r="AA4" s="2"/>
      <c r="AB4" s="2"/>
      <c r="AC4" s="2"/>
      <c r="AD4" s="2"/>
      <c r="AE4" s="2"/>
      <c r="AF4" s="2"/>
    </row>
    <row r="5" spans="1:32">
      <c r="A5" s="17" t="s">
        <v>485</v>
      </c>
      <c r="F5" s="2" t="s">
        <v>18</v>
      </c>
      <c r="G5" s="2" t="s">
        <v>19</v>
      </c>
      <c r="H5" s="2" t="s">
        <v>20</v>
      </c>
      <c r="I5" s="2">
        <v>2021</v>
      </c>
      <c r="J5" s="3" t="s">
        <v>21</v>
      </c>
      <c r="K5" s="2" t="str">
        <f t="shared" si="0"/>
        <v>Kodera, K., N. Eguchi, R. Ueyama, B. M. Funatsu, M. Gaetani, C. M. Taylor, The impact of tropical tropopause cooling on Sahelian extreme deep convection, Journal of the Meteorological Society of Japan, 2021, https://doi.org/10.2151/jmsj.2021-055</v>
      </c>
      <c r="L5" s="2"/>
      <c r="M5" s="2"/>
      <c r="N5" s="2"/>
      <c r="O5" s="2"/>
      <c r="P5" s="2"/>
      <c r="Q5" s="2"/>
      <c r="R5" s="2"/>
      <c r="S5" s="2"/>
      <c r="T5" s="2"/>
      <c r="U5" s="2"/>
      <c r="V5" s="2"/>
      <c r="W5" s="2"/>
      <c r="X5" s="2"/>
      <c r="Y5" s="2"/>
      <c r="Z5" s="2"/>
      <c r="AA5" s="2"/>
      <c r="AB5" s="2"/>
      <c r="AC5" s="2"/>
      <c r="AD5" s="2"/>
      <c r="AE5" s="2"/>
      <c r="AF5" s="2"/>
    </row>
    <row r="6" spans="1:32">
      <c r="A6" s="17" t="s">
        <v>485</v>
      </c>
      <c r="F6" s="2" t="s">
        <v>22</v>
      </c>
      <c r="G6" s="2" t="s">
        <v>23</v>
      </c>
      <c r="H6" s="2" t="s">
        <v>24</v>
      </c>
      <c r="I6" s="2">
        <v>2021</v>
      </c>
      <c r="J6" s="3" t="s">
        <v>25</v>
      </c>
      <c r="K6" s="2" t="str">
        <f t="shared" si="0"/>
        <v>Di Biagio C., J.R. Banks, M. Gaetani, Dust Atmospheric Transport Over Long Distances, Reference Module in Earth Systems and Environmental Sciences, 2021, https://doi.org/10.1016/B978-0-12-818234-5.00033-X</v>
      </c>
      <c r="L6" s="2"/>
      <c r="M6" s="2"/>
      <c r="N6" s="2"/>
      <c r="O6" s="2"/>
      <c r="P6" s="2"/>
      <c r="Q6" s="2"/>
      <c r="R6" s="2"/>
      <c r="S6" s="2"/>
      <c r="T6" s="2"/>
      <c r="U6" s="2"/>
      <c r="V6" s="2"/>
      <c r="W6" s="2"/>
      <c r="X6" s="2"/>
      <c r="Y6" s="2"/>
      <c r="Z6" s="2"/>
      <c r="AA6" s="2"/>
      <c r="AB6" s="2"/>
      <c r="AC6" s="2"/>
      <c r="AD6" s="2"/>
      <c r="AE6" s="2"/>
      <c r="AF6" s="2"/>
    </row>
    <row r="7" spans="1:32">
      <c r="A7" s="17" t="s">
        <v>486</v>
      </c>
      <c r="F7" s="2" t="s">
        <v>26</v>
      </c>
      <c r="G7" s="2" t="s">
        <v>27</v>
      </c>
      <c r="H7" s="4" t="s">
        <v>28</v>
      </c>
      <c r="I7" s="2">
        <v>2021</v>
      </c>
      <c r="J7" s="3" t="s">
        <v>29</v>
      </c>
      <c r="K7" s="2" t="str">
        <f t="shared" si="0"/>
        <v>Fowler H.J. , Haider Ali , Richard P. Allan , Nikolina Ban , Renaud Barbero , Peter Berg , Stephen Blenkinsop , Nalan Senol Cabi , Steven Chan , Murray Dale , Robert J. H. Dunn , Marie Ekström , Jason P. Evans , Giorgia Fosser , Brian Golding , Selma B. Guerreiro , Gabriele C. Hegerl , Abdullah Kahraman , Elizabeth J. Kendon , Geert Lenderink , Elizabeth Lewis , Xiaofeng Li , Paul A. O'Gorman , Harriet G. Orr , Katy L. Peat , Andreas F. Prein , David Pritchard , Christoph Schär , Ashish Sharma , Peter A. Stott , Roberto Villalobos-Herrera , Gabriele Villarini , Conrad Wasko , Michael F. Wehner , Seth Westra , Anna Whitford, Towards advancing scientific knowledge of climate change impacts on short-duration rainfall extremes, Phil. Trans. R. Soc. A, 2021, https://doi.org/10.1098/rsta.2019.0542</v>
      </c>
      <c r="L7" s="2"/>
      <c r="M7" s="2"/>
      <c r="N7" s="2"/>
      <c r="O7" s="2"/>
      <c r="P7" s="2"/>
      <c r="Q7" s="2"/>
      <c r="R7" s="2"/>
      <c r="S7" s="2"/>
      <c r="T7" s="2"/>
      <c r="U7" s="2"/>
      <c r="V7" s="2"/>
      <c r="W7" s="2"/>
      <c r="X7" s="2"/>
      <c r="Y7" s="2"/>
      <c r="Z7" s="2"/>
      <c r="AA7" s="2"/>
      <c r="AB7" s="2"/>
      <c r="AC7" s="2"/>
      <c r="AD7" s="2"/>
      <c r="AE7" s="2"/>
      <c r="AF7" s="2"/>
    </row>
    <row r="8" spans="1:32">
      <c r="A8" s="17" t="s">
        <v>487</v>
      </c>
      <c r="F8" s="2" t="s">
        <v>30</v>
      </c>
      <c r="G8" s="2" t="s">
        <v>31</v>
      </c>
      <c r="H8" s="2" t="s">
        <v>16</v>
      </c>
      <c r="I8" s="2">
        <v>2021</v>
      </c>
      <c r="J8" s="3" t="s">
        <v>32</v>
      </c>
      <c r="K8" s="2" t="str">
        <f t="shared" si="0"/>
        <v>Gaetani, M., Pohl, B., Alvarez Castro, M. C., Flamant, C., Formenti, P., A weather regime characterisation of winter biomass aerosol transport from southern Africa, Atmospheric Chemistry and Physics, 2021, https://doi.org/10.5194/acp-21-16575-2021</v>
      </c>
      <c r="L8" s="2"/>
      <c r="M8" s="2"/>
      <c r="N8" s="2"/>
      <c r="O8" s="2"/>
      <c r="P8" s="2"/>
      <c r="Q8" s="2"/>
      <c r="R8" s="2"/>
      <c r="S8" s="2"/>
      <c r="T8" s="2"/>
      <c r="U8" s="2"/>
      <c r="V8" s="2"/>
      <c r="W8" s="2"/>
      <c r="X8" s="2"/>
      <c r="Y8" s="2"/>
      <c r="Z8" s="2"/>
      <c r="AA8" s="2"/>
      <c r="AB8" s="2"/>
      <c r="AC8" s="2"/>
      <c r="AD8" s="2"/>
      <c r="AE8" s="2"/>
      <c r="AF8" s="2"/>
    </row>
    <row r="9" spans="1:32">
      <c r="A9" s="17" t="s">
        <v>488</v>
      </c>
      <c r="B9" s="17" t="s">
        <v>489</v>
      </c>
      <c r="C9" s="17" t="s">
        <v>490</v>
      </c>
      <c r="F9" s="2" t="s">
        <v>33</v>
      </c>
      <c r="G9" s="2" t="s">
        <v>34</v>
      </c>
      <c r="H9" s="2" t="s">
        <v>35</v>
      </c>
      <c r="I9" s="2">
        <v>2021</v>
      </c>
      <c r="J9" s="3" t="s">
        <v>36</v>
      </c>
      <c r="K9" s="2" t="str">
        <f t="shared" si="0"/>
        <v>Cesarini, L. Figueiredo, R., Monteleone, B., Martina, M. , The potential of machine learning for weather index insurance, NHESS, 2021, https://doi.org/10.5194/nhess-21-2379-2021</v>
      </c>
      <c r="L9" s="2"/>
      <c r="M9" s="2"/>
      <c r="N9" s="2"/>
      <c r="O9" s="2"/>
      <c r="P9" s="2"/>
      <c r="Q9" s="2"/>
      <c r="R9" s="2"/>
      <c r="S9" s="2"/>
      <c r="T9" s="2"/>
      <c r="U9" s="2"/>
      <c r="V9" s="2"/>
      <c r="W9" s="2"/>
      <c r="X9" s="2"/>
      <c r="Y9" s="2"/>
      <c r="Z9" s="2"/>
      <c r="AA9" s="2"/>
      <c r="AB9" s="2"/>
      <c r="AC9" s="2"/>
      <c r="AD9" s="2"/>
      <c r="AE9" s="2"/>
      <c r="AF9" s="2"/>
    </row>
    <row r="10" spans="1:32">
      <c r="A10" s="17" t="s">
        <v>491</v>
      </c>
      <c r="B10" s="17" t="s">
        <v>493</v>
      </c>
      <c r="C10" s="17" t="s">
        <v>492</v>
      </c>
      <c r="F10" s="2" t="s">
        <v>37</v>
      </c>
      <c r="G10" s="5" t="s">
        <v>38</v>
      </c>
      <c r="H10" s="5" t="s">
        <v>39</v>
      </c>
      <c r="I10" s="2">
        <v>2021</v>
      </c>
      <c r="J10" s="3" t="s">
        <v>40</v>
      </c>
      <c r="K10" s="2" t="str">
        <f t="shared" si="0"/>
        <v>Arosio M., Cesarini L., Martina M.L.V., Assessment of the Disaster Resilience of Complex Systems: The Case of the Flood Resilience of a Densely Populated City, Water, 2021, https://doi.org/10.3390/w13202830</v>
      </c>
      <c r="L10" s="2"/>
      <c r="M10" s="2"/>
      <c r="N10" s="2"/>
      <c r="O10" s="2"/>
      <c r="P10" s="2"/>
      <c r="Q10" s="2"/>
      <c r="R10" s="2"/>
      <c r="S10" s="2"/>
      <c r="T10" s="2"/>
      <c r="U10" s="2"/>
      <c r="V10" s="2"/>
      <c r="W10" s="2"/>
      <c r="X10" s="2"/>
      <c r="Y10" s="2"/>
      <c r="Z10" s="2"/>
      <c r="AA10" s="2"/>
      <c r="AB10" s="2"/>
      <c r="AC10" s="2"/>
      <c r="AD10" s="2"/>
      <c r="AE10" s="2"/>
      <c r="AF10" s="2"/>
    </row>
    <row r="11" spans="1:32">
      <c r="A11" s="17" t="s">
        <v>491</v>
      </c>
      <c r="B11" s="17" t="s">
        <v>493</v>
      </c>
      <c r="C11" s="17" t="s">
        <v>492</v>
      </c>
      <c r="F11" s="2" t="s">
        <v>41</v>
      </c>
      <c r="G11" s="5" t="s">
        <v>42</v>
      </c>
      <c r="H11" s="5" t="s">
        <v>43</v>
      </c>
      <c r="I11" s="2">
        <v>2021</v>
      </c>
      <c r="J11" s="3" t="s">
        <v>44</v>
      </c>
      <c r="K11" s="2" t="str">
        <f t="shared" si="0"/>
        <v>Arosio M., Arrighi C., Cesarini L., Martina M.L.V., Service Accessibility Risk (SAR) Assessment for Pluvial and Fluvial Floods in an Urban Context, Hydrology, 2021, https://doi.org/10.3390/hydrology8030142</v>
      </c>
      <c r="L11" s="2"/>
      <c r="M11" s="2"/>
      <c r="N11" s="2"/>
      <c r="O11" s="2"/>
      <c r="P11" s="2"/>
      <c r="Q11" s="2"/>
      <c r="R11" s="2"/>
      <c r="S11" s="2"/>
      <c r="T11" s="2"/>
      <c r="U11" s="2"/>
      <c r="V11" s="2"/>
      <c r="W11" s="2"/>
      <c r="X11" s="2"/>
      <c r="Y11" s="2"/>
      <c r="Z11" s="2"/>
      <c r="AA11" s="2"/>
      <c r="AB11" s="2"/>
      <c r="AC11" s="2"/>
      <c r="AD11" s="2"/>
      <c r="AE11" s="2"/>
      <c r="AF11" s="2"/>
    </row>
    <row r="12" spans="1:32">
      <c r="A12" s="17" t="s">
        <v>494</v>
      </c>
      <c r="F12" s="2" t="s">
        <v>45</v>
      </c>
      <c r="G12" s="2" t="s">
        <v>46</v>
      </c>
      <c r="H12" s="2" t="s">
        <v>47</v>
      </c>
      <c r="I12" s="2">
        <v>2021</v>
      </c>
      <c r="J12" s="6" t="s">
        <v>48</v>
      </c>
      <c r="K12" s="2"/>
      <c r="L12" s="2"/>
      <c r="M12" s="2"/>
      <c r="N12" s="2"/>
      <c r="O12" s="2"/>
      <c r="P12" s="2"/>
      <c r="Q12" s="2"/>
      <c r="R12" s="2"/>
      <c r="S12" s="2"/>
      <c r="T12" s="2"/>
      <c r="U12" s="2"/>
      <c r="V12" s="2"/>
      <c r="W12" s="2"/>
      <c r="X12" s="2"/>
      <c r="Y12" s="2"/>
      <c r="Z12" s="2"/>
      <c r="AA12" s="2"/>
      <c r="AB12" s="2"/>
      <c r="AC12" s="2"/>
      <c r="AD12" s="2"/>
      <c r="AE12" s="2"/>
      <c r="AF12" s="2"/>
    </row>
    <row r="13" spans="1:32">
      <c r="A13" s="17" t="s">
        <v>494</v>
      </c>
      <c r="F13" s="2" t="s">
        <v>49</v>
      </c>
      <c r="G13" s="2" t="s">
        <v>50</v>
      </c>
      <c r="H13" s="2" t="s">
        <v>51</v>
      </c>
      <c r="I13" s="2">
        <v>2021</v>
      </c>
      <c r="J13" s="6" t="s">
        <v>52</v>
      </c>
      <c r="K13" s="2"/>
      <c r="L13" s="2"/>
      <c r="M13" s="2"/>
      <c r="N13" s="2"/>
      <c r="O13" s="2"/>
      <c r="P13" s="2"/>
      <c r="Q13" s="2"/>
      <c r="R13" s="2"/>
      <c r="S13" s="2"/>
      <c r="T13" s="2"/>
      <c r="U13" s="2"/>
      <c r="V13" s="2"/>
      <c r="W13" s="2"/>
      <c r="X13" s="2"/>
      <c r="Y13" s="2"/>
      <c r="Z13" s="2"/>
      <c r="AA13" s="2"/>
      <c r="AB13" s="2"/>
      <c r="AC13" s="2"/>
      <c r="AD13" s="2"/>
      <c r="AE13" s="2"/>
      <c r="AF13" s="2"/>
    </row>
    <row r="14" spans="1:32">
      <c r="A14" s="17" t="s">
        <v>487</v>
      </c>
      <c r="F14" s="2" t="s">
        <v>53</v>
      </c>
      <c r="G14" s="2" t="s">
        <v>54</v>
      </c>
      <c r="H14" s="2" t="s">
        <v>16</v>
      </c>
      <c r="I14" s="2">
        <v>2022</v>
      </c>
      <c r="J14" s="6" t="s">
        <v>55</v>
      </c>
      <c r="K14" s="2" t="s">
        <v>56</v>
      </c>
      <c r="L14" s="2"/>
      <c r="M14" s="2"/>
      <c r="N14" s="2"/>
      <c r="O14" s="2"/>
      <c r="P14" s="2"/>
      <c r="Q14" s="2"/>
      <c r="R14" s="2"/>
      <c r="S14" s="2"/>
      <c r="T14" s="2"/>
      <c r="U14" s="2"/>
      <c r="V14" s="2"/>
      <c r="W14" s="2"/>
      <c r="X14" s="2"/>
      <c r="Y14" s="2"/>
      <c r="Z14" s="2"/>
      <c r="AA14" s="2"/>
      <c r="AB14" s="2"/>
      <c r="AC14" s="2"/>
      <c r="AD14" s="2"/>
      <c r="AE14" s="2"/>
      <c r="AF14" s="2"/>
    </row>
    <row r="15" spans="1:32">
      <c r="A15" s="17" t="s">
        <v>489</v>
      </c>
      <c r="B15" s="17" t="s">
        <v>490</v>
      </c>
      <c r="F15" s="2" t="s">
        <v>57</v>
      </c>
      <c r="G15" s="2" t="s">
        <v>58</v>
      </c>
      <c r="H15" s="2" t="s">
        <v>59</v>
      </c>
      <c r="I15" s="2">
        <v>2022</v>
      </c>
      <c r="J15" s="7" t="s">
        <v>60</v>
      </c>
      <c r="K15" s="2"/>
      <c r="L15" s="2"/>
      <c r="M15" s="2"/>
      <c r="N15" s="2"/>
      <c r="O15" s="2"/>
      <c r="P15" s="2"/>
      <c r="Q15" s="2"/>
      <c r="R15" s="2"/>
      <c r="S15" s="2"/>
      <c r="T15" s="2"/>
      <c r="U15" s="2"/>
      <c r="V15" s="2"/>
      <c r="W15" s="2"/>
      <c r="X15" s="2"/>
      <c r="Y15" s="2"/>
      <c r="Z15" s="2"/>
      <c r="AA15" s="2"/>
      <c r="AB15" s="2"/>
      <c r="AC15" s="2"/>
      <c r="AD15" s="2"/>
      <c r="AE15" s="2"/>
      <c r="AF15" s="2"/>
    </row>
    <row r="16" spans="1:32">
      <c r="A16" s="17" t="s">
        <v>494</v>
      </c>
      <c r="F16" s="2" t="s">
        <v>61</v>
      </c>
      <c r="G16" s="2" t="s">
        <v>62</v>
      </c>
      <c r="H16" s="2" t="s">
        <v>63</v>
      </c>
      <c r="I16" s="2">
        <v>2022</v>
      </c>
      <c r="J16" s="7" t="s">
        <v>64</v>
      </c>
      <c r="K16" s="2"/>
      <c r="L16" s="2"/>
      <c r="M16" s="2"/>
      <c r="N16" s="2"/>
      <c r="O16" s="2"/>
      <c r="P16" s="2"/>
      <c r="Q16" s="2"/>
      <c r="R16" s="2"/>
      <c r="S16" s="2"/>
      <c r="T16" s="2"/>
      <c r="U16" s="2"/>
      <c r="V16" s="2"/>
      <c r="W16" s="2"/>
      <c r="X16" s="2"/>
      <c r="Y16" s="2"/>
      <c r="Z16" s="2"/>
      <c r="AA16" s="2"/>
      <c r="AB16" s="2"/>
      <c r="AC16" s="2"/>
      <c r="AD16" s="2"/>
      <c r="AE16" s="2"/>
      <c r="AF16" s="2"/>
    </row>
    <row r="17" spans="1:32">
      <c r="A17" s="17" t="s">
        <v>494</v>
      </c>
      <c r="F17" s="2" t="s">
        <v>45</v>
      </c>
      <c r="G17" s="2" t="s">
        <v>46</v>
      </c>
      <c r="H17" s="2" t="s">
        <v>65</v>
      </c>
      <c r="I17" s="2">
        <v>2022</v>
      </c>
      <c r="J17" s="7" t="s">
        <v>66</v>
      </c>
      <c r="K17" s="2"/>
      <c r="L17" s="2"/>
      <c r="M17" s="2"/>
      <c r="N17" s="2"/>
      <c r="O17" s="2"/>
      <c r="P17" s="2"/>
      <c r="Q17" s="2"/>
      <c r="R17" s="2"/>
      <c r="S17" s="2"/>
      <c r="T17" s="2"/>
      <c r="U17" s="2"/>
      <c r="V17" s="2"/>
      <c r="W17" s="2"/>
      <c r="X17" s="2"/>
      <c r="Y17" s="2"/>
      <c r="Z17" s="2"/>
      <c r="AA17" s="2"/>
      <c r="AB17" s="2"/>
      <c r="AC17" s="2"/>
      <c r="AD17" s="2"/>
      <c r="AE17" s="2"/>
      <c r="AF17" s="2"/>
    </row>
    <row r="18" spans="1:32">
      <c r="A18" s="17" t="s">
        <v>495</v>
      </c>
      <c r="B18" s="17" t="s">
        <v>496</v>
      </c>
      <c r="C18" s="17" t="s">
        <v>497</v>
      </c>
      <c r="F18" s="2" t="s">
        <v>67</v>
      </c>
      <c r="G18" s="2" t="s">
        <v>68</v>
      </c>
      <c r="H18" s="2" t="s">
        <v>69</v>
      </c>
      <c r="I18" s="2">
        <v>2022</v>
      </c>
      <c r="J18" s="7" t="s">
        <v>70</v>
      </c>
      <c r="K18" s="2"/>
      <c r="L18" s="2"/>
      <c r="M18" s="2"/>
      <c r="N18" s="2"/>
      <c r="O18" s="2"/>
      <c r="P18" s="2"/>
      <c r="Q18" s="2"/>
      <c r="R18" s="2"/>
      <c r="S18" s="2"/>
      <c r="T18" s="2"/>
      <c r="U18" s="2"/>
      <c r="V18" s="2"/>
      <c r="W18" s="2"/>
      <c r="X18" s="2"/>
      <c r="Y18" s="2"/>
      <c r="Z18" s="2"/>
      <c r="AA18" s="2"/>
      <c r="AB18" s="2"/>
      <c r="AC18" s="2"/>
      <c r="AD18" s="2"/>
      <c r="AE18" s="2"/>
      <c r="AF18" s="2"/>
    </row>
    <row r="19" spans="1:32">
      <c r="A19" s="17" t="s">
        <v>498</v>
      </c>
      <c r="F19" s="2" t="s">
        <v>71</v>
      </c>
      <c r="G19" s="2" t="s">
        <v>72</v>
      </c>
      <c r="H19" s="2" t="s">
        <v>73</v>
      </c>
      <c r="I19" s="2">
        <v>2022</v>
      </c>
      <c r="J19" s="7" t="s">
        <v>74</v>
      </c>
      <c r="K19" s="2" t="s">
        <v>75</v>
      </c>
      <c r="L19" s="2"/>
      <c r="M19" s="2"/>
      <c r="N19" s="2"/>
      <c r="O19" s="2"/>
      <c r="P19" s="2"/>
      <c r="Q19" s="2"/>
      <c r="R19" s="2"/>
      <c r="S19" s="2"/>
      <c r="T19" s="2"/>
      <c r="U19" s="2"/>
      <c r="V19" s="2"/>
      <c r="W19" s="2"/>
      <c r="X19" s="2"/>
      <c r="Y19" s="2"/>
      <c r="Z19" s="2"/>
      <c r="AA19" s="2"/>
      <c r="AB19" s="2"/>
      <c r="AC19" s="2"/>
      <c r="AD19" s="2"/>
      <c r="AE19" s="2"/>
      <c r="AF19" s="2"/>
    </row>
    <row r="20" spans="1:32" ht="16">
      <c r="A20" s="17" t="s">
        <v>498</v>
      </c>
      <c r="F20" s="2" t="s">
        <v>76</v>
      </c>
      <c r="G20" s="2" t="s">
        <v>77</v>
      </c>
      <c r="H20" s="2" t="s">
        <v>78</v>
      </c>
      <c r="I20" s="2">
        <v>2022</v>
      </c>
      <c r="J20" s="8" t="s">
        <v>79</v>
      </c>
      <c r="K20" s="2" t="s">
        <v>80</v>
      </c>
      <c r="L20" s="2"/>
      <c r="M20" s="2"/>
      <c r="N20" s="2"/>
      <c r="O20" s="2"/>
      <c r="P20" s="2"/>
      <c r="Q20" s="2"/>
      <c r="R20" s="2"/>
      <c r="S20" s="2"/>
      <c r="T20" s="2"/>
      <c r="U20" s="2"/>
      <c r="V20" s="2"/>
      <c r="W20" s="2"/>
      <c r="X20" s="2"/>
      <c r="Y20" s="2"/>
      <c r="Z20" s="2"/>
      <c r="AA20" s="2"/>
      <c r="AB20" s="2"/>
      <c r="AC20" s="2"/>
      <c r="AD20" s="2"/>
      <c r="AE20" s="2"/>
      <c r="AF20" s="2"/>
    </row>
    <row r="21" spans="1:32">
      <c r="A21" s="17" t="s">
        <v>499</v>
      </c>
      <c r="F21" s="2" t="s">
        <v>81</v>
      </c>
      <c r="G21" s="2" t="s">
        <v>82</v>
      </c>
      <c r="H21" s="2" t="s">
        <v>83</v>
      </c>
      <c r="I21" s="2">
        <v>2022</v>
      </c>
      <c r="J21" s="9" t="s">
        <v>84</v>
      </c>
      <c r="K21" s="2" t="s">
        <v>85</v>
      </c>
      <c r="L21" s="2"/>
      <c r="M21" s="2"/>
      <c r="N21" s="2"/>
      <c r="O21" s="2"/>
      <c r="P21" s="2"/>
      <c r="Q21" s="2"/>
      <c r="R21" s="2"/>
      <c r="S21" s="2"/>
      <c r="T21" s="2"/>
      <c r="U21" s="2"/>
      <c r="V21" s="2"/>
      <c r="W21" s="2"/>
      <c r="X21" s="2"/>
      <c r="Y21" s="2"/>
      <c r="Z21" s="2"/>
      <c r="AA21" s="2"/>
      <c r="AB21" s="2"/>
      <c r="AC21" s="2"/>
      <c r="AD21" s="2"/>
      <c r="AE21" s="2"/>
      <c r="AF21" s="2"/>
    </row>
    <row r="22" spans="1:32">
      <c r="A22" s="17" t="s">
        <v>500</v>
      </c>
      <c r="B22" s="17" t="s">
        <v>499</v>
      </c>
      <c r="F22" s="2" t="s">
        <v>86</v>
      </c>
      <c r="G22" s="2" t="s">
        <v>87</v>
      </c>
      <c r="H22" s="2" t="s">
        <v>88</v>
      </c>
      <c r="I22" s="2">
        <v>2022</v>
      </c>
      <c r="J22" s="10" t="s">
        <v>89</v>
      </c>
      <c r="K22" s="2" t="s">
        <v>90</v>
      </c>
      <c r="L22" s="2"/>
      <c r="M22" s="2"/>
      <c r="N22" s="2"/>
      <c r="O22" s="2"/>
      <c r="P22" s="2"/>
      <c r="Q22" s="2"/>
      <c r="R22" s="2"/>
      <c r="S22" s="2"/>
      <c r="T22" s="2"/>
      <c r="U22" s="2"/>
      <c r="V22" s="2"/>
      <c r="W22" s="2"/>
      <c r="X22" s="2"/>
      <c r="Y22" s="2"/>
      <c r="Z22" s="2"/>
      <c r="AA22" s="2"/>
      <c r="AB22" s="2"/>
      <c r="AC22" s="2"/>
      <c r="AD22" s="2"/>
      <c r="AE22" s="2"/>
      <c r="AF22" s="2"/>
    </row>
    <row r="23" spans="1:32">
      <c r="A23" s="17" t="s">
        <v>489</v>
      </c>
      <c r="B23" s="17" t="s">
        <v>490</v>
      </c>
      <c r="F23" s="2" t="s">
        <v>57</v>
      </c>
      <c r="G23" s="2" t="s">
        <v>91</v>
      </c>
      <c r="H23" s="2" t="s">
        <v>69</v>
      </c>
      <c r="I23" s="2">
        <v>2023</v>
      </c>
      <c r="J23" s="6" t="s">
        <v>92</v>
      </c>
      <c r="K23" s="2"/>
      <c r="L23" s="2"/>
      <c r="M23" s="2"/>
      <c r="N23" s="2"/>
      <c r="O23" s="2"/>
      <c r="P23" s="2"/>
      <c r="Q23" s="2"/>
      <c r="R23" s="2"/>
      <c r="S23" s="2"/>
      <c r="T23" s="2"/>
      <c r="U23" s="2"/>
      <c r="V23" s="2"/>
      <c r="W23" s="2"/>
      <c r="X23" s="2"/>
      <c r="Y23" s="2"/>
      <c r="Z23" s="2"/>
      <c r="AA23" s="2"/>
      <c r="AB23" s="2"/>
      <c r="AC23" s="2"/>
      <c r="AD23" s="2"/>
      <c r="AE23" s="2"/>
      <c r="AF23" s="2"/>
    </row>
    <row r="24" spans="1:32" ht="15.75" customHeight="1">
      <c r="A24" s="17" t="s">
        <v>487</v>
      </c>
      <c r="F24" s="2" t="s">
        <v>93</v>
      </c>
      <c r="G24" s="2" t="s">
        <v>94</v>
      </c>
      <c r="H24" s="2" t="s">
        <v>95</v>
      </c>
      <c r="I24" s="2">
        <v>2023</v>
      </c>
      <c r="J24" s="7" t="s">
        <v>96</v>
      </c>
      <c r="K24" s="2" t="s">
        <v>97</v>
      </c>
      <c r="L24" s="2"/>
      <c r="M24" s="2"/>
      <c r="N24" s="2"/>
      <c r="O24" s="2"/>
      <c r="P24" s="2"/>
      <c r="Q24" s="2"/>
      <c r="R24" s="2"/>
      <c r="S24" s="2"/>
      <c r="T24" s="2"/>
      <c r="U24" s="2"/>
      <c r="V24" s="2"/>
      <c r="W24" s="2"/>
      <c r="X24" s="2"/>
      <c r="Y24" s="2"/>
      <c r="Z24" s="2"/>
      <c r="AA24" s="2"/>
      <c r="AB24" s="2"/>
      <c r="AC24" s="2"/>
      <c r="AD24" s="2"/>
      <c r="AE24" s="2"/>
      <c r="AF24" s="2"/>
    </row>
    <row r="25" spans="1:32" ht="15.75" customHeight="1">
      <c r="A25" s="17" t="s">
        <v>501</v>
      </c>
      <c r="F25" s="2" t="s">
        <v>98</v>
      </c>
      <c r="G25" s="2" t="s">
        <v>99</v>
      </c>
      <c r="H25" s="2"/>
      <c r="I25" s="2">
        <v>2023</v>
      </c>
      <c r="J25" s="6" t="s">
        <v>100</v>
      </c>
      <c r="K25" s="2"/>
      <c r="L25" s="2"/>
      <c r="M25" s="2"/>
      <c r="N25" s="2"/>
      <c r="O25" s="2"/>
      <c r="P25" s="2"/>
      <c r="Q25" s="2"/>
      <c r="R25" s="2"/>
      <c r="S25" s="2"/>
      <c r="T25" s="2"/>
      <c r="U25" s="2"/>
      <c r="V25" s="2"/>
      <c r="W25" s="2"/>
      <c r="X25" s="2"/>
      <c r="Y25" s="2"/>
      <c r="Z25" s="2"/>
      <c r="AA25" s="2"/>
      <c r="AB25" s="2"/>
      <c r="AC25" s="2"/>
      <c r="AD25" s="2"/>
      <c r="AE25" s="2"/>
      <c r="AF25" s="2"/>
    </row>
    <row r="26" spans="1:32" ht="15.75" customHeight="1">
      <c r="A26" s="17" t="s">
        <v>498</v>
      </c>
      <c r="F26" s="2" t="s">
        <v>101</v>
      </c>
      <c r="G26" s="2" t="s">
        <v>102</v>
      </c>
      <c r="H26" s="2" t="s">
        <v>103</v>
      </c>
      <c r="I26" s="2">
        <v>2023</v>
      </c>
      <c r="J26" s="6" t="s">
        <v>104</v>
      </c>
      <c r="K26" s="2"/>
      <c r="L26" s="2"/>
      <c r="M26" s="2"/>
      <c r="N26" s="2"/>
      <c r="O26" s="2"/>
      <c r="P26" s="2"/>
      <c r="Q26" s="2"/>
      <c r="R26" s="2"/>
      <c r="S26" s="2"/>
      <c r="T26" s="2"/>
      <c r="U26" s="2"/>
      <c r="V26" s="2"/>
      <c r="W26" s="2"/>
      <c r="X26" s="2"/>
      <c r="Y26" s="2"/>
      <c r="Z26" s="2"/>
      <c r="AA26" s="2"/>
      <c r="AB26" s="2"/>
      <c r="AC26" s="2"/>
      <c r="AD26" s="2"/>
      <c r="AE26" s="2"/>
      <c r="AF26" s="2"/>
    </row>
    <row r="27" spans="1:32" ht="15.75" customHeight="1">
      <c r="F27" s="2" t="s">
        <v>105</v>
      </c>
      <c r="G27" s="2" t="s">
        <v>106</v>
      </c>
      <c r="H27" s="2" t="s">
        <v>107</v>
      </c>
      <c r="I27" s="2">
        <v>2023</v>
      </c>
      <c r="J27" s="6" t="s">
        <v>108</v>
      </c>
      <c r="K27" s="2"/>
      <c r="L27" s="2"/>
      <c r="M27" s="2"/>
      <c r="N27" s="2"/>
      <c r="O27" s="2"/>
      <c r="P27" s="2"/>
      <c r="Q27" s="2"/>
      <c r="R27" s="2"/>
      <c r="S27" s="2"/>
      <c r="T27" s="2"/>
      <c r="U27" s="2"/>
      <c r="V27" s="2"/>
      <c r="W27" s="2"/>
      <c r="X27" s="2"/>
      <c r="Y27" s="2"/>
      <c r="Z27" s="2"/>
      <c r="AA27" s="2"/>
      <c r="AB27" s="2"/>
      <c r="AC27" s="2"/>
      <c r="AD27" s="2"/>
      <c r="AE27" s="2"/>
      <c r="AF27" s="2"/>
    </row>
    <row r="28" spans="1:32" ht="15.75" customHeight="1">
      <c r="F28" s="2" t="s">
        <v>109</v>
      </c>
      <c r="G28" s="2" t="s">
        <v>110</v>
      </c>
      <c r="H28" s="2" t="s">
        <v>111</v>
      </c>
      <c r="I28" s="2">
        <v>2023</v>
      </c>
      <c r="J28" s="6" t="s">
        <v>112</v>
      </c>
      <c r="K28" s="2" t="s">
        <v>113</v>
      </c>
      <c r="L28" s="2"/>
      <c r="M28" s="2"/>
      <c r="N28" s="2"/>
      <c r="O28" s="2"/>
      <c r="P28" s="2"/>
      <c r="Q28" s="2"/>
      <c r="R28" s="2"/>
      <c r="S28" s="2"/>
      <c r="T28" s="2"/>
      <c r="U28" s="2"/>
      <c r="V28" s="2"/>
      <c r="W28" s="2"/>
      <c r="X28" s="2"/>
      <c r="Y28" s="2"/>
      <c r="Z28" s="2"/>
      <c r="AA28" s="2"/>
      <c r="AB28" s="2"/>
      <c r="AC28" s="2"/>
      <c r="AD28" s="2"/>
      <c r="AE28" s="2"/>
      <c r="AF28" s="2"/>
    </row>
    <row r="29" spans="1:32" ht="15.75" customHeight="1">
      <c r="F29" s="2" t="s">
        <v>114</v>
      </c>
      <c r="G29" s="11" t="s">
        <v>115</v>
      </c>
      <c r="H29" s="2" t="s">
        <v>116</v>
      </c>
      <c r="I29" s="2">
        <v>2023</v>
      </c>
      <c r="J29" s="7" t="s">
        <v>117</v>
      </c>
      <c r="K29" s="2"/>
      <c r="L29" s="6"/>
      <c r="M29" s="2"/>
      <c r="N29" s="2"/>
      <c r="O29" s="2"/>
      <c r="P29" s="2"/>
      <c r="Q29" s="2"/>
      <c r="R29" s="2"/>
      <c r="S29" s="2"/>
      <c r="T29" s="2"/>
      <c r="U29" s="2"/>
      <c r="V29" s="2"/>
      <c r="W29" s="2"/>
      <c r="X29" s="2"/>
      <c r="Y29" s="2"/>
      <c r="Z29" s="2"/>
      <c r="AA29" s="2"/>
      <c r="AB29" s="2"/>
      <c r="AC29" s="2"/>
      <c r="AD29" s="2"/>
      <c r="AE29" s="2"/>
      <c r="AF29" s="2"/>
    </row>
    <row r="30" spans="1:32" ht="15.75" customHeight="1">
      <c r="F30" s="2" t="s">
        <v>118</v>
      </c>
      <c r="G30" s="2" t="s">
        <v>119</v>
      </c>
      <c r="H30" s="2" t="s">
        <v>16</v>
      </c>
      <c r="I30" s="2">
        <v>2023</v>
      </c>
      <c r="J30" s="7" t="s">
        <v>120</v>
      </c>
      <c r="K30" s="2" t="s">
        <v>121</v>
      </c>
      <c r="L30" s="2"/>
      <c r="M30" s="2"/>
      <c r="N30" s="2"/>
      <c r="O30" s="2"/>
      <c r="P30" s="2"/>
      <c r="Q30" s="2"/>
      <c r="R30" s="2"/>
      <c r="S30" s="2"/>
      <c r="T30" s="2"/>
      <c r="U30" s="2"/>
      <c r="V30" s="2"/>
      <c r="W30" s="2"/>
      <c r="X30" s="2"/>
      <c r="Y30" s="2"/>
      <c r="Z30" s="2"/>
      <c r="AA30" s="2"/>
      <c r="AB30" s="2"/>
      <c r="AC30" s="2"/>
      <c r="AD30" s="2"/>
      <c r="AE30" s="2"/>
      <c r="AF30" s="2"/>
    </row>
    <row r="31" spans="1:32" ht="15.75" customHeight="1">
      <c r="F31" s="2" t="s">
        <v>122</v>
      </c>
      <c r="G31" s="2" t="s">
        <v>123</v>
      </c>
      <c r="H31" s="2" t="s">
        <v>39</v>
      </c>
      <c r="I31" s="2">
        <v>2023</v>
      </c>
      <c r="J31" s="6" t="s">
        <v>124</v>
      </c>
      <c r="K31" s="2"/>
      <c r="L31" s="2"/>
      <c r="M31" s="2"/>
      <c r="N31" s="2"/>
      <c r="O31" s="2"/>
      <c r="P31" s="2"/>
      <c r="Q31" s="2"/>
      <c r="R31" s="2"/>
      <c r="S31" s="2"/>
      <c r="T31" s="2"/>
      <c r="U31" s="2"/>
      <c r="V31" s="2"/>
      <c r="W31" s="2"/>
      <c r="X31" s="2"/>
      <c r="Y31" s="2"/>
      <c r="Z31" s="2"/>
      <c r="AA31" s="2"/>
      <c r="AB31" s="2"/>
      <c r="AC31" s="2"/>
      <c r="AD31" s="2"/>
      <c r="AE31" s="2"/>
      <c r="AF31" s="2"/>
    </row>
    <row r="32" spans="1:32" ht="15.75" customHeight="1">
      <c r="F32" s="2" t="s">
        <v>125</v>
      </c>
      <c r="G32" s="2" t="s">
        <v>126</v>
      </c>
      <c r="H32" s="2" t="s">
        <v>59</v>
      </c>
      <c r="I32" s="2">
        <v>2023</v>
      </c>
      <c r="J32" s="6" t="s">
        <v>127</v>
      </c>
      <c r="K32" s="2"/>
      <c r="L32" s="2"/>
      <c r="M32" s="2"/>
      <c r="N32" s="2"/>
      <c r="O32" s="2"/>
      <c r="P32" s="2"/>
      <c r="Q32" s="2"/>
      <c r="R32" s="2"/>
      <c r="S32" s="2"/>
      <c r="T32" s="2"/>
      <c r="U32" s="2"/>
      <c r="V32" s="2"/>
      <c r="W32" s="2"/>
      <c r="X32" s="2"/>
      <c r="Y32" s="2"/>
      <c r="Z32" s="2"/>
      <c r="AA32" s="2"/>
      <c r="AB32" s="2"/>
      <c r="AC32" s="2"/>
      <c r="AD32" s="2"/>
      <c r="AE32" s="2"/>
      <c r="AF32" s="2"/>
    </row>
    <row r="33" spans="6:32" ht="15.75" customHeight="1">
      <c r="F33" s="2" t="s">
        <v>128</v>
      </c>
      <c r="G33" s="11" t="s">
        <v>129</v>
      </c>
      <c r="H33" s="2" t="s">
        <v>130</v>
      </c>
      <c r="I33" s="2">
        <v>2023</v>
      </c>
      <c r="J33" s="7" t="s">
        <v>131</v>
      </c>
      <c r="K33" s="2"/>
      <c r="L33" s="2"/>
      <c r="M33" s="2"/>
      <c r="N33" s="2"/>
      <c r="O33" s="2"/>
      <c r="P33" s="2"/>
      <c r="Q33" s="2"/>
      <c r="R33" s="2"/>
      <c r="S33" s="2"/>
      <c r="T33" s="2"/>
      <c r="U33" s="2"/>
      <c r="V33" s="2"/>
      <c r="W33" s="2"/>
      <c r="X33" s="2"/>
      <c r="Y33" s="2"/>
      <c r="Z33" s="2"/>
      <c r="AA33" s="2"/>
      <c r="AB33" s="2"/>
      <c r="AC33" s="2"/>
      <c r="AD33" s="2"/>
      <c r="AE33" s="2"/>
      <c r="AF33" s="2"/>
    </row>
    <row r="34" spans="6:32" ht="15.75" customHeight="1">
      <c r="F34" s="2" t="s">
        <v>132</v>
      </c>
      <c r="G34" s="11" t="s">
        <v>133</v>
      </c>
      <c r="H34" s="2" t="s">
        <v>134</v>
      </c>
      <c r="I34" s="2">
        <v>2023</v>
      </c>
      <c r="J34" s="12" t="s">
        <v>135</v>
      </c>
      <c r="K34" s="2"/>
      <c r="L34" s="2"/>
      <c r="M34" s="2"/>
      <c r="N34" s="2"/>
      <c r="O34" s="2"/>
      <c r="P34" s="2"/>
      <c r="Q34" s="2"/>
      <c r="R34" s="2"/>
      <c r="S34" s="2"/>
      <c r="T34" s="2"/>
      <c r="U34" s="2"/>
      <c r="V34" s="2"/>
      <c r="W34" s="2"/>
      <c r="X34" s="2"/>
      <c r="Y34" s="2"/>
      <c r="Z34" s="2"/>
      <c r="AA34" s="2"/>
      <c r="AB34" s="2"/>
      <c r="AC34" s="2"/>
      <c r="AD34" s="2"/>
      <c r="AE34" s="2"/>
      <c r="AF34" s="2"/>
    </row>
    <row r="35" spans="6:32" ht="15.75" customHeight="1">
      <c r="F35" s="2" t="s">
        <v>136</v>
      </c>
      <c r="G35" s="2" t="s">
        <v>137</v>
      </c>
      <c r="H35" s="2" t="s">
        <v>134</v>
      </c>
      <c r="I35" s="2">
        <v>2023</v>
      </c>
      <c r="J35" s="12" t="s">
        <v>138</v>
      </c>
      <c r="K35" s="2"/>
      <c r="L35" s="2"/>
      <c r="M35" s="2"/>
      <c r="N35" s="2"/>
      <c r="O35" s="2"/>
      <c r="P35" s="2"/>
      <c r="Q35" s="2"/>
      <c r="R35" s="2"/>
      <c r="S35" s="2"/>
      <c r="T35" s="2"/>
      <c r="U35" s="2"/>
      <c r="V35" s="2"/>
      <c r="W35" s="2"/>
      <c r="X35" s="2"/>
      <c r="Y35" s="2"/>
      <c r="Z35" s="2"/>
      <c r="AA35" s="2"/>
      <c r="AB35" s="2"/>
      <c r="AC35" s="2"/>
      <c r="AD35" s="2"/>
      <c r="AE35" s="2"/>
      <c r="AF35" s="2"/>
    </row>
    <row r="36" spans="6:32" ht="15.75" customHeight="1">
      <c r="F36" s="2" t="s">
        <v>139</v>
      </c>
      <c r="G36" s="11" t="s">
        <v>140</v>
      </c>
      <c r="H36" s="2" t="s">
        <v>141</v>
      </c>
      <c r="I36" s="2">
        <v>2023</v>
      </c>
      <c r="J36" s="11" t="s">
        <v>142</v>
      </c>
      <c r="K36" s="2"/>
      <c r="L36" s="2"/>
      <c r="M36" s="2"/>
      <c r="N36" s="2"/>
      <c r="O36" s="2"/>
      <c r="P36" s="2"/>
      <c r="Q36" s="2"/>
      <c r="R36" s="2"/>
      <c r="S36" s="2"/>
      <c r="T36" s="2"/>
      <c r="U36" s="2"/>
      <c r="V36" s="2"/>
      <c r="W36" s="2"/>
      <c r="X36" s="2"/>
      <c r="Y36" s="2"/>
      <c r="Z36" s="2"/>
      <c r="AA36" s="2"/>
      <c r="AB36" s="2"/>
      <c r="AC36" s="2"/>
      <c r="AD36" s="2"/>
      <c r="AE36" s="2"/>
      <c r="AF36" s="2"/>
    </row>
    <row r="37" spans="6:32" ht="15.75" customHeight="1">
      <c r="F37" s="2" t="s">
        <v>132</v>
      </c>
      <c r="G37" s="2" t="s">
        <v>143</v>
      </c>
      <c r="H37" s="2" t="s">
        <v>141</v>
      </c>
      <c r="I37" s="2">
        <v>2023</v>
      </c>
      <c r="J37" s="11" t="s">
        <v>144</v>
      </c>
      <c r="K37" s="2"/>
      <c r="L37" s="2"/>
      <c r="M37" s="2"/>
      <c r="N37" s="2"/>
      <c r="O37" s="2"/>
      <c r="P37" s="2"/>
      <c r="Q37" s="2"/>
      <c r="R37" s="2"/>
      <c r="S37" s="2"/>
      <c r="T37" s="2"/>
      <c r="U37" s="2"/>
      <c r="V37" s="2"/>
      <c r="W37" s="2"/>
      <c r="X37" s="2"/>
      <c r="Y37" s="2"/>
      <c r="Z37" s="2"/>
      <c r="AA37" s="2"/>
      <c r="AB37" s="2"/>
      <c r="AC37" s="2"/>
      <c r="AD37" s="2"/>
      <c r="AE37" s="2"/>
      <c r="AF37" s="2"/>
    </row>
    <row r="38" spans="6:32" ht="15.75" customHeight="1">
      <c r="F38" s="2" t="s">
        <v>145</v>
      </c>
      <c r="G38" s="2" t="s">
        <v>146</v>
      </c>
      <c r="H38" s="2" t="s">
        <v>130</v>
      </c>
      <c r="I38" s="2">
        <v>2023</v>
      </c>
      <c r="J38" s="7" t="s">
        <v>147</v>
      </c>
      <c r="K38" s="2"/>
      <c r="L38" s="2"/>
      <c r="M38" s="2"/>
      <c r="N38" s="2"/>
      <c r="O38" s="2"/>
      <c r="P38" s="2"/>
      <c r="Q38" s="2"/>
      <c r="R38" s="2"/>
      <c r="S38" s="2"/>
      <c r="T38" s="2"/>
      <c r="U38" s="2"/>
      <c r="V38" s="2"/>
      <c r="W38" s="2"/>
      <c r="X38" s="2"/>
      <c r="Y38" s="2"/>
      <c r="Z38" s="2"/>
      <c r="AA38" s="2"/>
      <c r="AB38" s="2"/>
      <c r="AC38" s="2"/>
      <c r="AD38" s="2"/>
      <c r="AE38" s="2"/>
      <c r="AF38" s="2"/>
    </row>
    <row r="39" spans="6:32" ht="15.75" customHeight="1">
      <c r="F39" s="2" t="s">
        <v>136</v>
      </c>
      <c r="G39" s="2" t="s">
        <v>148</v>
      </c>
      <c r="H39" s="11" t="s">
        <v>149</v>
      </c>
      <c r="I39" s="2">
        <v>2023</v>
      </c>
      <c r="J39" s="11" t="s">
        <v>150</v>
      </c>
      <c r="K39" s="2"/>
      <c r="L39" s="2"/>
      <c r="M39" s="2"/>
      <c r="N39" s="2"/>
      <c r="O39" s="2"/>
      <c r="P39" s="2"/>
      <c r="Q39" s="2"/>
      <c r="R39" s="2"/>
      <c r="S39" s="2"/>
      <c r="T39" s="2"/>
      <c r="U39" s="2"/>
      <c r="V39" s="2"/>
      <c r="W39" s="2"/>
      <c r="X39" s="2"/>
      <c r="Y39" s="2"/>
      <c r="Z39" s="2"/>
      <c r="AA39" s="2"/>
      <c r="AB39" s="2"/>
      <c r="AC39" s="2"/>
      <c r="AD39" s="2"/>
      <c r="AE39" s="2"/>
      <c r="AF39" s="2"/>
    </row>
    <row r="40" spans="6:32" ht="15.75" customHeight="1">
      <c r="F40" s="2" t="s">
        <v>151</v>
      </c>
      <c r="G40" s="2" t="s">
        <v>152</v>
      </c>
      <c r="H40" s="2" t="s">
        <v>130</v>
      </c>
      <c r="I40" s="2">
        <v>2023</v>
      </c>
      <c r="J40" s="7" t="s">
        <v>153</v>
      </c>
      <c r="K40" s="2"/>
      <c r="L40" s="2"/>
      <c r="M40" s="2"/>
      <c r="N40" s="2"/>
      <c r="O40" s="2"/>
      <c r="P40" s="2"/>
      <c r="Q40" s="2"/>
      <c r="R40" s="2"/>
      <c r="S40" s="2"/>
      <c r="T40" s="2"/>
      <c r="U40" s="2"/>
      <c r="V40" s="2"/>
      <c r="W40" s="2"/>
      <c r="X40" s="2"/>
      <c r="Y40" s="2"/>
      <c r="Z40" s="2"/>
      <c r="AA40" s="2"/>
      <c r="AB40" s="2"/>
      <c r="AC40" s="2"/>
      <c r="AD40" s="2"/>
      <c r="AE40" s="2"/>
      <c r="AF40" s="2"/>
    </row>
    <row r="41" spans="6:32" ht="15.75" customHeight="1">
      <c r="F41" s="2" t="s">
        <v>154</v>
      </c>
      <c r="G41" s="2" t="s">
        <v>155</v>
      </c>
      <c r="H41" s="2" t="s">
        <v>156</v>
      </c>
      <c r="I41" s="2">
        <v>2023</v>
      </c>
      <c r="J41" s="7" t="s">
        <v>157</v>
      </c>
      <c r="K41" s="2"/>
      <c r="L41" s="2"/>
      <c r="M41" s="2"/>
      <c r="N41" s="2"/>
      <c r="O41" s="2"/>
      <c r="P41" s="2"/>
      <c r="Q41" s="2"/>
      <c r="R41" s="2"/>
      <c r="S41" s="2"/>
      <c r="T41" s="2"/>
      <c r="U41" s="2"/>
      <c r="V41" s="2"/>
      <c r="W41" s="2"/>
      <c r="X41" s="2"/>
      <c r="Y41" s="2"/>
      <c r="Z41" s="2"/>
      <c r="AA41" s="2"/>
      <c r="AB41" s="2"/>
      <c r="AC41" s="2"/>
      <c r="AD41" s="2"/>
      <c r="AE41" s="2"/>
      <c r="AF41" s="2"/>
    </row>
    <row r="42" spans="6:32" ht="15.75" customHeight="1">
      <c r="F42" s="2" t="s">
        <v>158</v>
      </c>
      <c r="G42" s="2" t="s">
        <v>159</v>
      </c>
      <c r="H42" s="2" t="s">
        <v>160</v>
      </c>
      <c r="I42" s="2">
        <v>2024</v>
      </c>
      <c r="J42" s="7" t="s">
        <v>161</v>
      </c>
      <c r="K42" s="2" t="s">
        <v>162</v>
      </c>
      <c r="L42" s="2"/>
      <c r="M42" s="2"/>
      <c r="N42" s="2"/>
      <c r="O42" s="2"/>
      <c r="P42" s="2"/>
      <c r="Q42" s="2"/>
      <c r="R42" s="2"/>
      <c r="S42" s="2"/>
      <c r="T42" s="2"/>
      <c r="U42" s="2"/>
      <c r="V42" s="2"/>
      <c r="W42" s="2"/>
      <c r="X42" s="2"/>
      <c r="Y42" s="2"/>
      <c r="Z42" s="2"/>
      <c r="AA42" s="2"/>
      <c r="AB42" s="2"/>
      <c r="AC42" s="2"/>
      <c r="AD42" s="2"/>
      <c r="AE42" s="2"/>
      <c r="AF42" s="2"/>
    </row>
    <row r="43" spans="6:32" ht="15.75" customHeight="1">
      <c r="F43" s="2" t="s">
        <v>163</v>
      </c>
      <c r="G43" s="2" t="s">
        <v>164</v>
      </c>
      <c r="H43" s="2" t="s">
        <v>16</v>
      </c>
      <c r="I43" s="2">
        <v>2024</v>
      </c>
      <c r="J43" s="7" t="s">
        <v>165</v>
      </c>
      <c r="K43" s="2" t="s">
        <v>166</v>
      </c>
      <c r="L43" s="2"/>
      <c r="M43" s="2"/>
      <c r="N43" s="2"/>
      <c r="O43" s="2"/>
      <c r="P43" s="2"/>
      <c r="Q43" s="2"/>
      <c r="R43" s="2"/>
      <c r="S43" s="2"/>
      <c r="T43" s="2"/>
      <c r="U43" s="2"/>
      <c r="V43" s="2"/>
      <c r="W43" s="2"/>
      <c r="X43" s="2"/>
      <c r="Y43" s="2"/>
      <c r="Z43" s="2"/>
      <c r="AA43" s="2"/>
      <c r="AB43" s="2"/>
      <c r="AC43" s="2"/>
      <c r="AD43" s="2"/>
      <c r="AE43" s="2"/>
      <c r="AF43" s="2"/>
    </row>
    <row r="44" spans="6:32" ht="15.75" customHeight="1">
      <c r="F44" s="2" t="s">
        <v>167</v>
      </c>
      <c r="G44" s="2" t="s">
        <v>168</v>
      </c>
      <c r="H44" s="2" t="s">
        <v>12</v>
      </c>
      <c r="I44" s="2">
        <v>2024</v>
      </c>
      <c r="J44" s="7" t="s">
        <v>169</v>
      </c>
      <c r="K44" s="6" t="s">
        <v>170</v>
      </c>
      <c r="L44" s="2"/>
      <c r="M44" s="2"/>
      <c r="N44" s="2"/>
      <c r="O44" s="2"/>
      <c r="P44" s="2"/>
      <c r="Q44" s="2"/>
      <c r="R44" s="2"/>
      <c r="S44" s="2"/>
      <c r="T44" s="2"/>
      <c r="U44" s="2"/>
      <c r="V44" s="2"/>
      <c r="W44" s="2"/>
      <c r="X44" s="2"/>
      <c r="Y44" s="2"/>
      <c r="Z44" s="2"/>
      <c r="AA44" s="2"/>
      <c r="AB44" s="2"/>
      <c r="AC44" s="2"/>
      <c r="AD44" s="2"/>
      <c r="AE44" s="2"/>
      <c r="AF44" s="2"/>
    </row>
    <row r="45" spans="6:32" ht="15.75" customHeight="1">
      <c r="F45" s="2" t="s">
        <v>171</v>
      </c>
      <c r="G45" s="2" t="s">
        <v>172</v>
      </c>
      <c r="H45" s="2" t="s">
        <v>173</v>
      </c>
      <c r="I45" s="2">
        <v>2024</v>
      </c>
      <c r="J45" s="7" t="s">
        <v>174</v>
      </c>
      <c r="K45" s="6" t="s">
        <v>175</v>
      </c>
      <c r="L45" s="2"/>
      <c r="M45" s="2"/>
      <c r="N45" s="2"/>
      <c r="O45" s="2"/>
      <c r="P45" s="2"/>
      <c r="Q45" s="2"/>
      <c r="R45" s="2"/>
      <c r="S45" s="2"/>
      <c r="T45" s="2"/>
      <c r="U45" s="2"/>
      <c r="V45" s="2"/>
      <c r="W45" s="2"/>
      <c r="X45" s="2"/>
      <c r="Y45" s="2"/>
      <c r="Z45" s="2"/>
      <c r="AA45" s="2"/>
      <c r="AB45" s="2"/>
      <c r="AC45" s="2"/>
      <c r="AD45" s="2"/>
      <c r="AE45" s="2"/>
      <c r="AF45" s="2"/>
    </row>
    <row r="46" spans="6:32" ht="15.75" customHeight="1">
      <c r="F46" s="2" t="s">
        <v>176</v>
      </c>
      <c r="G46" s="13" t="s">
        <v>177</v>
      </c>
      <c r="H46" s="13" t="s">
        <v>178</v>
      </c>
      <c r="I46" s="2">
        <v>2024</v>
      </c>
      <c r="J46" s="6" t="s">
        <v>179</v>
      </c>
      <c r="K46" s="2" t="s">
        <v>180</v>
      </c>
      <c r="L46" s="2"/>
      <c r="M46" s="2"/>
      <c r="N46" s="2"/>
      <c r="O46" s="2"/>
      <c r="P46" s="2"/>
      <c r="Q46" s="2"/>
      <c r="R46" s="2"/>
      <c r="S46" s="2"/>
      <c r="T46" s="2"/>
      <c r="U46" s="2"/>
      <c r="V46" s="2"/>
      <c r="W46" s="2"/>
      <c r="X46" s="2"/>
      <c r="Y46" s="2"/>
      <c r="Z46" s="2"/>
      <c r="AA46" s="2"/>
      <c r="AB46" s="2"/>
      <c r="AC46" s="2"/>
      <c r="AD46" s="2"/>
      <c r="AE46" s="2"/>
      <c r="AF46" s="2"/>
    </row>
    <row r="47" spans="6:32" ht="15.75" customHeight="1">
      <c r="F47" s="2" t="s">
        <v>181</v>
      </c>
      <c r="G47" s="13" t="s">
        <v>182</v>
      </c>
      <c r="H47" s="13" t="s">
        <v>183</v>
      </c>
      <c r="I47" s="2">
        <v>2024</v>
      </c>
      <c r="J47" s="6" t="s">
        <v>184</v>
      </c>
      <c r="K47" s="2" t="s">
        <v>185</v>
      </c>
      <c r="L47" s="2"/>
      <c r="M47" s="2"/>
      <c r="N47" s="2"/>
      <c r="O47" s="2"/>
      <c r="P47" s="2"/>
      <c r="Q47" s="2"/>
      <c r="R47" s="2"/>
      <c r="S47" s="2"/>
      <c r="T47" s="2"/>
      <c r="U47" s="2"/>
      <c r="V47" s="2"/>
      <c r="W47" s="2"/>
      <c r="X47" s="2"/>
      <c r="Y47" s="2"/>
      <c r="Z47" s="2"/>
      <c r="AA47" s="2"/>
      <c r="AB47" s="2"/>
      <c r="AC47" s="2"/>
      <c r="AD47" s="2"/>
      <c r="AE47" s="2"/>
      <c r="AF47" s="2"/>
    </row>
    <row r="48" spans="6:32" ht="15.75" customHeight="1">
      <c r="F48" s="2" t="s">
        <v>186</v>
      </c>
      <c r="G48" s="13" t="s">
        <v>187</v>
      </c>
      <c r="H48" s="13" t="s">
        <v>188</v>
      </c>
      <c r="I48" s="2">
        <v>2024</v>
      </c>
      <c r="J48" s="6" t="s">
        <v>189</v>
      </c>
      <c r="K48" s="2" t="s">
        <v>190</v>
      </c>
      <c r="L48" s="2"/>
      <c r="M48" s="2"/>
      <c r="N48" s="2"/>
      <c r="O48" s="2"/>
      <c r="P48" s="2"/>
      <c r="Q48" s="2"/>
      <c r="R48" s="2"/>
      <c r="S48" s="2"/>
      <c r="T48" s="2"/>
      <c r="U48" s="2"/>
      <c r="V48" s="2"/>
      <c r="W48" s="2"/>
      <c r="X48" s="2"/>
      <c r="Y48" s="2"/>
      <c r="Z48" s="2"/>
      <c r="AA48" s="2"/>
      <c r="AB48" s="2"/>
      <c r="AC48" s="2"/>
      <c r="AD48" s="2"/>
      <c r="AE48" s="2"/>
      <c r="AF48" s="2"/>
    </row>
    <row r="49" spans="6:32" ht="15.75" customHeight="1">
      <c r="F49" s="2" t="s">
        <v>191</v>
      </c>
      <c r="G49" s="13" t="s">
        <v>192</v>
      </c>
      <c r="H49" s="2" t="s">
        <v>193</v>
      </c>
      <c r="I49" s="2">
        <v>2024</v>
      </c>
      <c r="J49" s="6" t="s">
        <v>194</v>
      </c>
      <c r="K49" s="2" t="s">
        <v>195</v>
      </c>
      <c r="L49" s="2"/>
      <c r="M49" s="2"/>
      <c r="N49" s="2"/>
      <c r="O49" s="2"/>
      <c r="P49" s="2"/>
      <c r="Q49" s="2"/>
      <c r="R49" s="2"/>
      <c r="S49" s="2"/>
      <c r="T49" s="2"/>
      <c r="U49" s="2"/>
      <c r="V49" s="2"/>
      <c r="W49" s="2"/>
      <c r="X49" s="2"/>
      <c r="Y49" s="2"/>
      <c r="Z49" s="2"/>
      <c r="AA49" s="2"/>
      <c r="AB49" s="2"/>
      <c r="AC49" s="2"/>
      <c r="AD49" s="2"/>
      <c r="AE49" s="2"/>
      <c r="AF49" s="2"/>
    </row>
    <row r="50" spans="6:32" ht="15.75" customHeight="1">
      <c r="F50" s="2" t="s">
        <v>196</v>
      </c>
      <c r="G50" s="13" t="s">
        <v>197</v>
      </c>
      <c r="H50" s="2" t="s">
        <v>198</v>
      </c>
      <c r="I50" s="2">
        <v>2024</v>
      </c>
      <c r="J50" s="7" t="s">
        <v>199</v>
      </c>
      <c r="K50" s="2" t="str">
        <f t="shared" ref="K50:K51" si="1">+CONCATENATE(F50,", ",G50,", ",H50,", ",I50,", ",J50)</f>
        <v>Cesarini, L., Gonçalves, R., Martina, M., Romão, X.,  Monteleone, B., Pereira, F.L., Figueiredo, R. , Comparison of deep learning models for milk production forecasting at national scale, Computers and Electronics in Agriculture, 2024, https://doi.org/10.1016/j.compag.2024.108933</v>
      </c>
      <c r="L50" s="2"/>
      <c r="M50" s="2"/>
      <c r="N50" s="2"/>
      <c r="O50" s="2"/>
      <c r="P50" s="2"/>
      <c r="Q50" s="2"/>
      <c r="R50" s="2"/>
      <c r="S50" s="2"/>
      <c r="T50" s="2"/>
      <c r="U50" s="2"/>
      <c r="V50" s="2"/>
      <c r="W50" s="2"/>
      <c r="X50" s="2"/>
      <c r="Y50" s="2"/>
      <c r="Z50" s="2"/>
      <c r="AA50" s="2"/>
      <c r="AB50" s="2"/>
      <c r="AC50" s="2"/>
      <c r="AD50" s="2"/>
      <c r="AE50" s="2"/>
      <c r="AF50" s="2"/>
    </row>
    <row r="51" spans="6:32" ht="15.75" customHeight="1">
      <c r="F51" s="13" t="s">
        <v>200</v>
      </c>
      <c r="G51" s="2" t="s">
        <v>201</v>
      </c>
      <c r="H51" s="2" t="s">
        <v>78</v>
      </c>
      <c r="I51" s="2">
        <v>2024</v>
      </c>
      <c r="J51" s="7" t="s">
        <v>202</v>
      </c>
      <c r="K51" s="2" t="str">
        <f t="shared" si="1"/>
        <v>Caiani, A. And Catullo, E., Fiscal transfers and common debt in a Monetary Union: a multi-country agent–based stock flow consistent model, Industrial and Corporate Change, 2024, https://doi.org/10.1093/icc/dtae006</v>
      </c>
      <c r="L51" s="2"/>
      <c r="M51" s="2"/>
      <c r="N51" s="2"/>
      <c r="O51" s="2"/>
      <c r="P51" s="2"/>
      <c r="Q51" s="2"/>
      <c r="R51" s="2"/>
      <c r="S51" s="2"/>
      <c r="T51" s="2"/>
      <c r="U51" s="2"/>
      <c r="V51" s="2"/>
      <c r="W51" s="2"/>
      <c r="X51" s="2"/>
      <c r="Y51" s="2"/>
      <c r="Z51" s="2"/>
      <c r="AA51" s="2"/>
      <c r="AB51" s="2"/>
      <c r="AC51" s="2"/>
      <c r="AD51" s="2"/>
      <c r="AE51" s="2"/>
      <c r="AF51" s="2"/>
    </row>
    <row r="52" spans="6:32" ht="15.75" customHeight="1">
      <c r="F52" s="2" t="s">
        <v>203</v>
      </c>
      <c r="G52" s="2" t="s">
        <v>204</v>
      </c>
      <c r="H52" s="2" t="s">
        <v>205</v>
      </c>
      <c r="I52" s="2">
        <v>2024</v>
      </c>
      <c r="J52" s="14" t="s">
        <v>206</v>
      </c>
      <c r="K52" s="2"/>
      <c r="L52" s="2"/>
      <c r="M52" s="2"/>
      <c r="N52" s="2"/>
      <c r="O52" s="2"/>
      <c r="P52" s="2"/>
      <c r="Q52" s="2"/>
      <c r="R52" s="2"/>
      <c r="S52" s="2"/>
      <c r="T52" s="2"/>
      <c r="U52" s="2"/>
      <c r="V52" s="2"/>
      <c r="W52" s="2"/>
      <c r="X52" s="2"/>
      <c r="Y52" s="2"/>
      <c r="Z52" s="2"/>
      <c r="AA52" s="2"/>
      <c r="AB52" s="2"/>
      <c r="AC52" s="2"/>
      <c r="AD52" s="2"/>
      <c r="AE52" s="2"/>
      <c r="AF52" s="2"/>
    </row>
    <row r="53" spans="6:32" ht="15.75" customHeight="1">
      <c r="F53" s="2" t="s">
        <v>207</v>
      </c>
      <c r="G53" s="2" t="s">
        <v>208</v>
      </c>
      <c r="H53" s="2" t="s">
        <v>205</v>
      </c>
      <c r="I53" s="2">
        <v>2024</v>
      </c>
      <c r="J53" s="14" t="s">
        <v>209</v>
      </c>
      <c r="K53" s="2"/>
      <c r="L53" s="2"/>
      <c r="M53" s="2"/>
      <c r="N53" s="2"/>
      <c r="O53" s="2"/>
      <c r="P53" s="2"/>
      <c r="Q53" s="2"/>
      <c r="R53" s="2"/>
      <c r="S53" s="2"/>
      <c r="T53" s="2"/>
      <c r="U53" s="2"/>
      <c r="V53" s="2"/>
      <c r="W53" s="2"/>
      <c r="X53" s="2"/>
      <c r="Y53" s="2"/>
      <c r="Z53" s="2"/>
      <c r="AA53" s="2"/>
      <c r="AB53" s="2"/>
      <c r="AC53" s="2"/>
      <c r="AD53" s="2"/>
      <c r="AE53" s="2"/>
      <c r="AF53" s="2"/>
    </row>
    <row r="54" spans="6:32" ht="15.75" customHeight="1">
      <c r="F54" s="2" t="s">
        <v>210</v>
      </c>
      <c r="G54" s="2" t="s">
        <v>211</v>
      </c>
      <c r="H54" s="2" t="s">
        <v>205</v>
      </c>
      <c r="I54" s="2">
        <v>2024</v>
      </c>
      <c r="J54" s="14" t="s">
        <v>212</v>
      </c>
      <c r="K54" s="2"/>
      <c r="L54" s="2"/>
      <c r="M54" s="2"/>
      <c r="N54" s="2"/>
      <c r="O54" s="2"/>
      <c r="P54" s="2"/>
      <c r="Q54" s="2"/>
      <c r="R54" s="2"/>
      <c r="S54" s="2"/>
      <c r="T54" s="2"/>
      <c r="U54" s="2"/>
      <c r="V54" s="2"/>
      <c r="W54" s="2"/>
      <c r="X54" s="2"/>
      <c r="Y54" s="2"/>
      <c r="Z54" s="2"/>
      <c r="AA54" s="2"/>
      <c r="AB54" s="2"/>
      <c r="AC54" s="2"/>
      <c r="AD54" s="2"/>
      <c r="AE54" s="2"/>
      <c r="AF54" s="2"/>
    </row>
    <row r="55" spans="6:32" ht="15.75" customHeight="1">
      <c r="F55" s="2" t="s">
        <v>213</v>
      </c>
      <c r="G55" s="2" t="s">
        <v>214</v>
      </c>
      <c r="H55" s="2" t="s">
        <v>130</v>
      </c>
      <c r="I55" s="2">
        <v>2024</v>
      </c>
      <c r="J55" s="15" t="s">
        <v>215</v>
      </c>
      <c r="K55" s="2"/>
      <c r="L55" s="2"/>
      <c r="M55" s="2"/>
      <c r="N55" s="2"/>
      <c r="O55" s="2"/>
      <c r="P55" s="2"/>
      <c r="Q55" s="2"/>
      <c r="R55" s="2"/>
      <c r="S55" s="2"/>
      <c r="T55" s="2"/>
      <c r="U55" s="2"/>
      <c r="V55" s="2"/>
      <c r="W55" s="2"/>
      <c r="X55" s="2"/>
      <c r="Y55" s="2"/>
      <c r="Z55" s="2"/>
      <c r="AA55" s="2"/>
      <c r="AB55" s="2"/>
      <c r="AC55" s="2"/>
      <c r="AD55" s="2"/>
      <c r="AE55" s="2"/>
      <c r="AF55" s="2"/>
    </row>
    <row r="56" spans="6:32" ht="15.75" customHeight="1">
      <c r="F56" s="2" t="s">
        <v>128</v>
      </c>
      <c r="G56" s="2" t="s">
        <v>216</v>
      </c>
      <c r="H56" s="2" t="s">
        <v>217</v>
      </c>
      <c r="I56" s="2">
        <v>2024</v>
      </c>
      <c r="J56" s="15" t="s">
        <v>218</v>
      </c>
      <c r="K56" s="2"/>
      <c r="L56" s="2"/>
      <c r="M56" s="2"/>
      <c r="N56" s="2"/>
      <c r="O56" s="2"/>
      <c r="P56" s="2"/>
      <c r="Q56" s="2"/>
      <c r="R56" s="2"/>
      <c r="S56" s="2"/>
      <c r="T56" s="2"/>
      <c r="U56" s="2"/>
      <c r="V56" s="2"/>
      <c r="W56" s="2"/>
      <c r="X56" s="2"/>
      <c r="Y56" s="2"/>
      <c r="Z56" s="2"/>
      <c r="AA56" s="2"/>
      <c r="AB56" s="2"/>
      <c r="AC56" s="2"/>
      <c r="AD56" s="2"/>
      <c r="AE56" s="2"/>
      <c r="AF56" s="2"/>
    </row>
    <row r="57" spans="6:32" ht="15.75" customHeight="1">
      <c r="F57" s="2" t="s">
        <v>213</v>
      </c>
      <c r="G57" s="2" t="s">
        <v>219</v>
      </c>
      <c r="H57" s="2" t="s">
        <v>220</v>
      </c>
      <c r="I57" s="2">
        <v>2024</v>
      </c>
      <c r="J57" s="15" t="s">
        <v>221</v>
      </c>
      <c r="K57" s="2"/>
      <c r="L57" s="2"/>
      <c r="M57" s="2"/>
      <c r="N57" s="2"/>
      <c r="O57" s="2"/>
      <c r="P57" s="2"/>
      <c r="Q57" s="2"/>
      <c r="R57" s="2"/>
      <c r="S57" s="2"/>
      <c r="T57" s="2"/>
      <c r="U57" s="2"/>
      <c r="V57" s="2"/>
      <c r="W57" s="2"/>
      <c r="X57" s="2"/>
      <c r="Y57" s="2"/>
      <c r="Z57" s="2"/>
      <c r="AA57" s="2"/>
      <c r="AB57" s="2"/>
      <c r="AC57" s="2"/>
      <c r="AD57" s="2"/>
      <c r="AE57" s="2"/>
      <c r="AF57" s="2"/>
    </row>
    <row r="58" spans="6:32" ht="15.75" customHeight="1">
      <c r="F58" s="2" t="s">
        <v>222</v>
      </c>
      <c r="G58" s="2" t="s">
        <v>223</v>
      </c>
      <c r="H58" s="2" t="s">
        <v>224</v>
      </c>
      <c r="I58" s="2">
        <v>2024</v>
      </c>
      <c r="J58" s="15" t="s">
        <v>225</v>
      </c>
      <c r="K58" s="2"/>
      <c r="L58" s="2"/>
      <c r="M58" s="2"/>
      <c r="N58" s="2"/>
      <c r="O58" s="2"/>
      <c r="P58" s="2"/>
      <c r="Q58" s="2"/>
      <c r="R58" s="2"/>
      <c r="S58" s="2"/>
      <c r="T58" s="2"/>
      <c r="U58" s="2"/>
      <c r="V58" s="2"/>
      <c r="W58" s="2"/>
      <c r="X58" s="2"/>
      <c r="Y58" s="2"/>
      <c r="Z58" s="2"/>
      <c r="AA58" s="2"/>
      <c r="AB58" s="2"/>
      <c r="AC58" s="2"/>
      <c r="AD58" s="2"/>
      <c r="AE58" s="2"/>
      <c r="AF58" s="2"/>
    </row>
    <row r="59" spans="6:32" ht="15.75" customHeight="1">
      <c r="F59" s="2" t="s">
        <v>213</v>
      </c>
      <c r="G59" s="2" t="s">
        <v>226</v>
      </c>
      <c r="H59" s="2" t="s">
        <v>111</v>
      </c>
      <c r="I59" s="2">
        <v>2024</v>
      </c>
      <c r="J59" s="15" t="s">
        <v>227</v>
      </c>
      <c r="K59" s="2"/>
      <c r="L59" s="2"/>
      <c r="M59" s="2"/>
      <c r="N59" s="2"/>
      <c r="O59" s="2"/>
      <c r="P59" s="2"/>
      <c r="Q59" s="2"/>
      <c r="R59" s="2"/>
      <c r="S59" s="2"/>
      <c r="T59" s="2"/>
      <c r="U59" s="2"/>
      <c r="V59" s="2"/>
      <c r="W59" s="2"/>
      <c r="X59" s="2"/>
      <c r="Y59" s="2"/>
      <c r="Z59" s="2"/>
      <c r="AA59" s="2"/>
      <c r="AB59" s="2"/>
      <c r="AC59" s="2"/>
      <c r="AD59" s="2"/>
      <c r="AE59" s="2"/>
      <c r="AF59" s="2"/>
    </row>
    <row r="60" spans="6:32" ht="15.75" customHeight="1">
      <c r="F60" s="13" t="s">
        <v>228</v>
      </c>
      <c r="G60" s="2" t="s">
        <v>229</v>
      </c>
      <c r="H60" s="2"/>
      <c r="I60" s="2">
        <v>2024</v>
      </c>
      <c r="J60" s="16" t="s">
        <v>230</v>
      </c>
      <c r="K60" s="2"/>
      <c r="L60" s="2"/>
      <c r="M60" s="2"/>
      <c r="N60" s="2"/>
      <c r="O60" s="2"/>
      <c r="P60" s="2"/>
      <c r="Q60" s="2"/>
      <c r="R60" s="2"/>
      <c r="S60" s="2"/>
      <c r="T60" s="2"/>
      <c r="U60" s="2"/>
      <c r="V60" s="2"/>
      <c r="W60" s="2"/>
      <c r="X60" s="2"/>
      <c r="Y60" s="2"/>
      <c r="Z60" s="2"/>
      <c r="AA60" s="2"/>
      <c r="AB60" s="2"/>
      <c r="AC60" s="2"/>
      <c r="AD60" s="2"/>
      <c r="AE60" s="2"/>
      <c r="AF60" s="2"/>
    </row>
    <row r="61" spans="6:32" ht="15.75" customHeight="1">
      <c r="F61" s="13" t="s">
        <v>231</v>
      </c>
      <c r="G61" s="2" t="s">
        <v>232</v>
      </c>
      <c r="H61" s="2" t="s">
        <v>233</v>
      </c>
      <c r="I61" s="2">
        <v>2024</v>
      </c>
      <c r="J61" s="16" t="s">
        <v>234</v>
      </c>
      <c r="K61" s="2"/>
      <c r="L61" s="2"/>
      <c r="M61" s="2"/>
      <c r="N61" s="2"/>
      <c r="O61" s="2"/>
      <c r="P61" s="2"/>
      <c r="Q61" s="2"/>
      <c r="R61" s="2"/>
      <c r="S61" s="2"/>
      <c r="T61" s="2"/>
      <c r="U61" s="2"/>
      <c r="V61" s="2"/>
      <c r="W61" s="2"/>
      <c r="X61" s="2"/>
      <c r="Y61" s="2"/>
      <c r="Z61" s="2"/>
      <c r="AA61" s="2"/>
      <c r="AB61" s="2"/>
      <c r="AC61" s="2"/>
      <c r="AD61" s="2"/>
      <c r="AE61" s="2"/>
      <c r="AF61" s="2"/>
    </row>
    <row r="62" spans="6:32" ht="15.75" customHeight="1">
      <c r="F62" s="13" t="s">
        <v>235</v>
      </c>
      <c r="G62" s="2" t="s">
        <v>236</v>
      </c>
      <c r="H62" s="2" t="s">
        <v>237</v>
      </c>
      <c r="I62" s="2">
        <v>2025</v>
      </c>
      <c r="J62" s="15" t="s">
        <v>238</v>
      </c>
      <c r="K62" s="2" t="str">
        <f>+CONCATENATE(F62,", ",G62,", ",H62,", ",I62,", ",J62)</f>
        <v>Di Noia, J., Caiani, A., Cesarini, L., Arosio, M. Monteleone, B. , A High Resolution Input-Output Model to Assess the Economic Impact of Floods., Journal of Economic Behavior and Organization, 2025, https://doi.org/10.1016/j.jebo.2025.106896</v>
      </c>
      <c r="L62" s="2"/>
      <c r="M62" s="2"/>
      <c r="N62" s="2"/>
      <c r="O62" s="2"/>
      <c r="P62" s="2"/>
      <c r="Q62" s="2"/>
      <c r="R62" s="2"/>
      <c r="S62" s="2"/>
      <c r="T62" s="2"/>
      <c r="U62" s="2"/>
      <c r="V62" s="2"/>
      <c r="W62" s="2"/>
      <c r="X62" s="2"/>
      <c r="Y62" s="2"/>
      <c r="Z62" s="2"/>
      <c r="AA62" s="2"/>
      <c r="AB62" s="2"/>
      <c r="AC62" s="2"/>
      <c r="AD62" s="2"/>
      <c r="AE62" s="2"/>
      <c r="AF62" s="2"/>
    </row>
    <row r="63" spans="6:32" ht="15.75" customHeight="1">
      <c r="F63" s="2" t="s">
        <v>239</v>
      </c>
      <c r="G63" s="2" t="s">
        <v>240</v>
      </c>
      <c r="H63" s="2" t="s">
        <v>241</v>
      </c>
      <c r="I63" s="2">
        <v>2025</v>
      </c>
      <c r="J63" s="15" t="s">
        <v>242</v>
      </c>
      <c r="K63" s="2"/>
      <c r="L63" s="2"/>
      <c r="M63" s="2"/>
      <c r="N63" s="2"/>
      <c r="O63" s="2"/>
      <c r="P63" s="2"/>
      <c r="Q63" s="2"/>
      <c r="R63" s="2"/>
      <c r="S63" s="2"/>
      <c r="T63" s="2"/>
      <c r="U63" s="2"/>
      <c r="V63" s="2"/>
      <c r="W63" s="2"/>
      <c r="X63" s="2"/>
      <c r="Y63" s="2"/>
      <c r="Z63" s="2"/>
      <c r="AA63" s="2"/>
      <c r="AB63" s="2"/>
      <c r="AC63" s="2"/>
      <c r="AD63" s="2"/>
      <c r="AE63" s="2"/>
      <c r="AF63" s="2"/>
    </row>
    <row r="64" spans="6:32" ht="15.75" customHeight="1">
      <c r="F64" s="13" t="s">
        <v>243</v>
      </c>
      <c r="G64" s="13" t="s">
        <v>244</v>
      </c>
      <c r="H64" s="2" t="s">
        <v>245</v>
      </c>
      <c r="I64" s="2">
        <v>2025</v>
      </c>
      <c r="J64" s="15" t="s">
        <v>246</v>
      </c>
      <c r="K64" s="2"/>
      <c r="L64" s="2"/>
      <c r="M64" s="2"/>
      <c r="N64" s="2"/>
      <c r="O64" s="2"/>
      <c r="P64" s="2"/>
      <c r="Q64" s="2"/>
      <c r="R64" s="2"/>
      <c r="S64" s="2"/>
      <c r="T64" s="2"/>
      <c r="U64" s="2"/>
      <c r="V64" s="2"/>
      <c r="W64" s="2"/>
      <c r="X64" s="2"/>
      <c r="Y64" s="2"/>
      <c r="Z64" s="2"/>
      <c r="AA64" s="2"/>
      <c r="AB64" s="2"/>
      <c r="AC64" s="2"/>
      <c r="AD64" s="2"/>
      <c r="AE64" s="2"/>
      <c r="AF64" s="2"/>
    </row>
    <row r="65" spans="6:32" ht="15.75" customHeight="1">
      <c r="F65" s="2" t="s">
        <v>247</v>
      </c>
      <c r="G65" s="13" t="s">
        <v>248</v>
      </c>
      <c r="H65" s="2" t="s">
        <v>220</v>
      </c>
      <c r="I65" s="2">
        <v>2025</v>
      </c>
      <c r="J65" s="2" t="s">
        <v>249</v>
      </c>
      <c r="K65" s="2"/>
      <c r="L65" s="2"/>
      <c r="M65" s="2"/>
      <c r="N65" s="2"/>
      <c r="O65" s="2"/>
      <c r="P65" s="2"/>
      <c r="Q65" s="2"/>
      <c r="R65" s="2"/>
      <c r="S65" s="2"/>
      <c r="T65" s="2"/>
      <c r="U65" s="2"/>
      <c r="V65" s="2"/>
      <c r="W65" s="2"/>
      <c r="X65" s="2"/>
      <c r="Y65" s="2"/>
      <c r="Z65" s="2"/>
      <c r="AA65" s="2"/>
      <c r="AB65" s="2"/>
      <c r="AC65" s="2"/>
      <c r="AD65" s="2"/>
      <c r="AE65" s="2"/>
      <c r="AF65" s="2"/>
    </row>
    <row r="66" spans="6:32" ht="15.75" customHeight="1">
      <c r="F66" s="2" t="s">
        <v>250</v>
      </c>
      <c r="G66" s="2" t="s">
        <v>251</v>
      </c>
      <c r="H66" s="2" t="s">
        <v>156</v>
      </c>
      <c r="I66" s="2">
        <v>2025</v>
      </c>
      <c r="J66" s="2" t="s">
        <v>252</v>
      </c>
      <c r="K66" s="2"/>
      <c r="L66" s="2"/>
      <c r="M66" s="2"/>
      <c r="N66" s="2"/>
      <c r="O66" s="2"/>
      <c r="P66" s="2"/>
      <c r="Q66" s="2"/>
      <c r="R66" s="2"/>
      <c r="S66" s="2"/>
      <c r="T66" s="2"/>
      <c r="U66" s="2"/>
      <c r="V66" s="2"/>
      <c r="W66" s="2"/>
      <c r="X66" s="2"/>
      <c r="Y66" s="2"/>
      <c r="Z66" s="2"/>
      <c r="AA66" s="2"/>
      <c r="AB66" s="2"/>
      <c r="AC66" s="2"/>
      <c r="AD66" s="2"/>
      <c r="AE66" s="2"/>
      <c r="AF66" s="2"/>
    </row>
    <row r="67" spans="6:32" ht="15.75" customHeight="1">
      <c r="F67" s="2" t="s">
        <v>253</v>
      </c>
      <c r="G67" s="2" t="s">
        <v>254</v>
      </c>
      <c r="H67" s="2" t="s">
        <v>255</v>
      </c>
      <c r="I67" s="2">
        <v>2025</v>
      </c>
      <c r="J67" s="7" t="s">
        <v>256</v>
      </c>
      <c r="K67" s="2"/>
      <c r="L67" s="2"/>
      <c r="M67" s="2"/>
      <c r="N67" s="2"/>
      <c r="O67" s="2"/>
      <c r="P67" s="2"/>
      <c r="Q67" s="2"/>
      <c r="R67" s="2"/>
      <c r="S67" s="2"/>
      <c r="T67" s="2"/>
      <c r="U67" s="2"/>
      <c r="V67" s="2"/>
      <c r="W67" s="2"/>
      <c r="X67" s="2"/>
      <c r="Y67" s="2"/>
      <c r="Z67" s="2"/>
      <c r="AA67" s="2"/>
      <c r="AB67" s="2"/>
      <c r="AC67" s="2"/>
      <c r="AD67" s="2"/>
      <c r="AE67" s="2"/>
      <c r="AF67" s="2"/>
    </row>
    <row r="68" spans="6:32" ht="15.75" customHeight="1">
      <c r="F68" s="2" t="s">
        <v>257</v>
      </c>
      <c r="G68" s="2" t="s">
        <v>258</v>
      </c>
      <c r="H68" s="2" t="s">
        <v>259</v>
      </c>
      <c r="I68" s="2">
        <v>2025</v>
      </c>
      <c r="J68" s="7" t="s">
        <v>260</v>
      </c>
      <c r="K68" s="2"/>
      <c r="L68" s="2"/>
      <c r="M68" s="2"/>
      <c r="N68" s="2"/>
      <c r="O68" s="2"/>
      <c r="P68" s="2"/>
      <c r="Q68" s="2"/>
      <c r="R68" s="2"/>
      <c r="S68" s="2"/>
      <c r="T68" s="2"/>
      <c r="U68" s="2"/>
      <c r="V68" s="2"/>
      <c r="W68" s="2"/>
      <c r="X68" s="2"/>
      <c r="Y68" s="2"/>
      <c r="Z68" s="2"/>
      <c r="AA68" s="2"/>
      <c r="AB68" s="2"/>
      <c r="AC68" s="2"/>
      <c r="AD68" s="2"/>
      <c r="AE68" s="2"/>
      <c r="AF68" s="2"/>
    </row>
    <row r="69" spans="6:32" ht="15.75" customHeight="1">
      <c r="F69" s="2" t="s">
        <v>261</v>
      </c>
      <c r="G69" s="2" t="s">
        <v>262</v>
      </c>
      <c r="H69" s="2" t="s">
        <v>263</v>
      </c>
      <c r="I69" s="2">
        <v>2025</v>
      </c>
      <c r="J69" s="2" t="s">
        <v>252</v>
      </c>
      <c r="K69" s="2"/>
      <c r="L69" s="2"/>
      <c r="M69" s="2"/>
      <c r="N69" s="2"/>
      <c r="O69" s="2"/>
      <c r="P69" s="2"/>
      <c r="Q69" s="2"/>
      <c r="R69" s="2"/>
      <c r="S69" s="2"/>
      <c r="T69" s="2"/>
      <c r="U69" s="2"/>
      <c r="V69" s="2"/>
      <c r="W69" s="2"/>
      <c r="X69" s="2"/>
      <c r="Y69" s="2"/>
      <c r="Z69" s="2"/>
      <c r="AA69" s="2"/>
      <c r="AB69" s="2"/>
      <c r="AC69" s="2"/>
      <c r="AD69" s="2"/>
      <c r="AE69" s="2"/>
      <c r="AF69" s="2"/>
    </row>
    <row r="70" spans="6:32" ht="15.75" customHeight="1">
      <c r="F70" s="2" t="s">
        <v>264</v>
      </c>
      <c r="G70" s="2" t="s">
        <v>265</v>
      </c>
      <c r="H70" s="2" t="s">
        <v>266</v>
      </c>
      <c r="I70" s="2">
        <v>2025</v>
      </c>
      <c r="J70" s="6" t="s">
        <v>267</v>
      </c>
      <c r="K70" s="2" t="s">
        <v>268</v>
      </c>
      <c r="L70" s="2"/>
      <c r="M70" s="2"/>
      <c r="N70" s="2"/>
      <c r="O70" s="2"/>
      <c r="P70" s="2"/>
      <c r="Q70" s="2"/>
      <c r="R70" s="2"/>
      <c r="S70" s="2"/>
      <c r="T70" s="2"/>
      <c r="U70" s="2"/>
      <c r="V70" s="2"/>
      <c r="W70" s="2"/>
      <c r="X70" s="2"/>
      <c r="Y70" s="2"/>
      <c r="Z70" s="2"/>
      <c r="AA70" s="2"/>
      <c r="AB70" s="2"/>
      <c r="AC70" s="2"/>
      <c r="AD70" s="2"/>
      <c r="AE70" s="2"/>
      <c r="AF70" s="2"/>
    </row>
    <row r="71" spans="6:32" ht="15.75" customHeight="1">
      <c r="F71" s="2" t="s">
        <v>269</v>
      </c>
      <c r="G71" s="2" t="s">
        <v>270</v>
      </c>
      <c r="H71" s="2" t="s">
        <v>271</v>
      </c>
      <c r="I71" s="2">
        <v>2025</v>
      </c>
      <c r="J71" s="7" t="s">
        <v>272</v>
      </c>
      <c r="K71" s="2" t="s">
        <v>273</v>
      </c>
      <c r="L71" s="2"/>
      <c r="M71" s="2"/>
      <c r="N71" s="2"/>
      <c r="O71" s="2"/>
      <c r="P71" s="2"/>
      <c r="Q71" s="2"/>
      <c r="R71" s="2"/>
      <c r="S71" s="2"/>
      <c r="T71" s="2"/>
      <c r="U71" s="2"/>
      <c r="V71" s="2"/>
      <c r="W71" s="2"/>
      <c r="X71" s="2"/>
      <c r="Y71" s="2"/>
      <c r="Z71" s="2"/>
      <c r="AA71" s="2"/>
      <c r="AB71" s="2"/>
      <c r="AC71" s="2"/>
      <c r="AD71" s="2"/>
      <c r="AE71" s="2"/>
      <c r="AF71" s="2"/>
    </row>
    <row r="72" spans="6:32" ht="15.75" customHeight="1">
      <c r="F72" s="2" t="s">
        <v>274</v>
      </c>
      <c r="G72" s="17" t="s">
        <v>275</v>
      </c>
      <c r="H72" s="2" t="s">
        <v>276</v>
      </c>
      <c r="I72" s="2">
        <v>2025</v>
      </c>
      <c r="J72" s="6" t="s">
        <v>277</v>
      </c>
      <c r="K72" s="2"/>
      <c r="L72" s="2"/>
      <c r="M72" s="2"/>
      <c r="N72" s="2"/>
      <c r="O72" s="2"/>
      <c r="P72" s="2"/>
      <c r="Q72" s="2"/>
      <c r="R72" s="2"/>
      <c r="S72" s="2"/>
      <c r="T72" s="2"/>
      <c r="U72" s="2"/>
      <c r="V72" s="2"/>
      <c r="W72" s="2"/>
      <c r="X72" s="2"/>
      <c r="Y72" s="2"/>
      <c r="Z72" s="2"/>
      <c r="AA72" s="2"/>
      <c r="AB72" s="2"/>
      <c r="AC72" s="2"/>
      <c r="AD72" s="2"/>
      <c r="AE72" s="2"/>
      <c r="AF72" s="2"/>
    </row>
    <row r="73" spans="6:32" ht="15.75" customHeight="1">
      <c r="F73" s="2" t="s">
        <v>278</v>
      </c>
      <c r="G73" s="17" t="s">
        <v>279</v>
      </c>
      <c r="H73" s="2" t="s">
        <v>280</v>
      </c>
      <c r="I73" s="2">
        <v>2025</v>
      </c>
      <c r="J73" s="2" t="s">
        <v>252</v>
      </c>
      <c r="K73" s="2"/>
      <c r="L73" s="2"/>
      <c r="M73" s="2"/>
      <c r="N73" s="2"/>
      <c r="O73" s="2"/>
      <c r="P73" s="2"/>
      <c r="Q73" s="2"/>
      <c r="R73" s="2"/>
      <c r="S73" s="2"/>
      <c r="T73" s="2"/>
      <c r="U73" s="2"/>
      <c r="V73" s="2"/>
      <c r="W73" s="2"/>
      <c r="X73" s="2"/>
      <c r="Y73" s="2"/>
      <c r="Z73" s="2"/>
      <c r="AA73" s="2"/>
      <c r="AB73" s="2"/>
      <c r="AC73" s="2"/>
      <c r="AD73" s="2"/>
      <c r="AE73" s="2"/>
      <c r="AF73" s="2"/>
    </row>
    <row r="74" spans="6:32" ht="15.75" customHeight="1">
      <c r="F74" s="2" t="s">
        <v>281</v>
      </c>
      <c r="G74" s="2" t="s">
        <v>282</v>
      </c>
      <c r="H74" s="2" t="s">
        <v>116</v>
      </c>
      <c r="I74" s="2">
        <v>2025</v>
      </c>
      <c r="J74" s="15" t="s">
        <v>283</v>
      </c>
      <c r="K74" s="6" t="s">
        <v>284</v>
      </c>
      <c r="L74" s="2"/>
      <c r="M74" s="2"/>
      <c r="N74" s="2"/>
      <c r="O74" s="2"/>
      <c r="P74" s="2"/>
      <c r="Q74" s="2"/>
      <c r="R74" s="2"/>
      <c r="S74" s="2"/>
      <c r="T74" s="2"/>
      <c r="U74" s="2"/>
      <c r="V74" s="2"/>
      <c r="W74" s="2"/>
      <c r="X74" s="2"/>
      <c r="Y74" s="2"/>
      <c r="Z74" s="2"/>
      <c r="AA74" s="2"/>
      <c r="AB74" s="2"/>
      <c r="AC74" s="2"/>
      <c r="AD74" s="2"/>
      <c r="AE74" s="2"/>
      <c r="AF74" s="2"/>
    </row>
    <row r="75" spans="6:32" ht="15.75" customHeight="1">
      <c r="F75" s="2" t="s">
        <v>285</v>
      </c>
      <c r="G75" s="2" t="s">
        <v>286</v>
      </c>
      <c r="H75" s="2" t="s">
        <v>259</v>
      </c>
      <c r="I75" s="2">
        <v>2025</v>
      </c>
      <c r="J75" s="13" t="s">
        <v>287</v>
      </c>
      <c r="K75" s="2"/>
      <c r="L75" s="2"/>
      <c r="M75" s="2"/>
      <c r="N75" s="2"/>
      <c r="O75" s="2"/>
      <c r="P75" s="2"/>
      <c r="Q75" s="2"/>
      <c r="R75" s="2"/>
      <c r="S75" s="2"/>
      <c r="T75" s="2"/>
      <c r="U75" s="2"/>
      <c r="V75" s="2"/>
      <c r="W75" s="2"/>
      <c r="X75" s="2"/>
      <c r="Y75" s="2"/>
      <c r="Z75" s="2"/>
      <c r="AA75" s="2"/>
      <c r="AB75" s="2"/>
      <c r="AC75" s="2"/>
      <c r="AD75" s="2"/>
      <c r="AE75" s="2"/>
      <c r="AF75" s="2"/>
    </row>
    <row r="76" spans="6:32" ht="15.75" customHeight="1">
      <c r="F76" s="2" t="s">
        <v>288</v>
      </c>
      <c r="G76" s="2" t="s">
        <v>289</v>
      </c>
      <c r="H76" s="2" t="s">
        <v>290</v>
      </c>
      <c r="I76" s="2">
        <v>2025</v>
      </c>
      <c r="J76" s="13" t="s">
        <v>252</v>
      </c>
      <c r="K76" s="2"/>
      <c r="L76" s="2"/>
      <c r="M76" s="2"/>
      <c r="N76" s="2"/>
      <c r="O76" s="2"/>
      <c r="P76" s="2"/>
      <c r="Q76" s="2"/>
      <c r="R76" s="2"/>
      <c r="S76" s="2"/>
      <c r="T76" s="2"/>
      <c r="U76" s="2"/>
      <c r="V76" s="2"/>
      <c r="W76" s="2"/>
      <c r="X76" s="2"/>
      <c r="Y76" s="2"/>
      <c r="Z76" s="2"/>
      <c r="AA76" s="2"/>
      <c r="AB76" s="2"/>
      <c r="AC76" s="2"/>
      <c r="AD76" s="2"/>
      <c r="AE76" s="2"/>
      <c r="AF76" s="2"/>
    </row>
    <row r="77" spans="6:32" ht="15.75" customHeight="1">
      <c r="F77" s="2" t="s">
        <v>291</v>
      </c>
      <c r="G77" s="17" t="s">
        <v>292</v>
      </c>
      <c r="H77" s="2" t="s">
        <v>16</v>
      </c>
      <c r="I77" s="2">
        <v>2025</v>
      </c>
      <c r="J77" s="18" t="s">
        <v>293</v>
      </c>
      <c r="K77" s="18" t="s">
        <v>294</v>
      </c>
      <c r="L77" s="2"/>
      <c r="M77" s="2"/>
      <c r="N77" s="2"/>
      <c r="O77" s="2"/>
      <c r="P77" s="2"/>
      <c r="Q77" s="2"/>
      <c r="R77" s="2"/>
      <c r="S77" s="2"/>
      <c r="T77" s="2"/>
      <c r="U77" s="2"/>
      <c r="V77" s="2"/>
      <c r="W77" s="2"/>
      <c r="X77" s="2"/>
      <c r="Y77" s="2"/>
      <c r="Z77" s="2"/>
      <c r="AA77" s="2"/>
      <c r="AB77" s="2"/>
      <c r="AC77" s="2"/>
      <c r="AD77" s="2"/>
      <c r="AE77" s="2"/>
      <c r="AF77" s="2"/>
    </row>
    <row r="78" spans="6:32" ht="15.75" customHeight="1">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6:32" ht="15.75" customHeight="1">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6:32" ht="15.75" customHeight="1">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6:32" ht="15.75" customHeight="1">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6:32" ht="15.75" customHeight="1">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6:32" ht="15.75" customHeight="1">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6:32" ht="15.75" customHeight="1">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6:32" ht="15.75" customHeight="1">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6:32" ht="15.75" customHeight="1">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6:32" ht="15.75" customHeight="1">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6:32" ht="15.75" customHeight="1">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6:32" ht="15.75" customHeight="1">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6:32" ht="15.75" customHeight="1">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6:32" ht="15.75" customHeight="1">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6:32" ht="15.75" customHeight="1">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6:32" ht="15.75" customHeight="1">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6:32" ht="15.75" customHeight="1">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6:32" ht="15.75" customHeight="1">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6:32" ht="15.75" customHeight="1">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6:32" ht="15.75" customHeight="1">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6:32" ht="15.75" customHeight="1">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6:32" ht="15.75" customHeight="1">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6:32" ht="15.75" customHeight="1">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6:32" ht="15.75" customHeight="1">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6:32" ht="15.75" customHeight="1">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6:32" ht="15.75" customHeight="1">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6:32" ht="15.75" customHeight="1">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6:32" ht="15.75" customHeight="1">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6:32" ht="15.75" customHeight="1">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6:32" ht="15.75" customHeight="1">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6:32" ht="15.75" customHeight="1">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6:32" ht="15.75" customHeight="1">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6:32" ht="15.75" customHeight="1">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6:32" ht="15.75" customHeight="1">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6:32" ht="15.75" customHeight="1">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6:32" ht="15.75" customHeight="1">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6:32" ht="15.75" customHeight="1">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6:32" ht="15.75" customHeight="1">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6:32" ht="15.75" customHeight="1">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6:32" ht="15.75" customHeight="1">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6:32" ht="15.75" customHeight="1">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6:32" ht="15.75" customHeight="1">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6:32" ht="15.75" customHeight="1">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6:32" ht="15.75" customHeight="1">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6:32" ht="15.75" customHeight="1">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6:32" ht="15.75" customHeight="1">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6:32" ht="15.75" customHeight="1">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6:32" ht="15.75" customHeight="1">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6:32" ht="15.75" customHeight="1">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6:32" ht="15.75" customHeight="1">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6:32" ht="15.75" customHeight="1">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6:32" ht="15.75" customHeight="1">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6:32" ht="15.75" customHeight="1">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6:32" ht="15.75" customHeight="1">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6:32" ht="15.75" customHeight="1">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6:32" ht="15.75" customHeight="1">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6:32" ht="15.75" customHeight="1">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6:32" ht="15.75" customHeight="1">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6:32" ht="15.75" customHeight="1">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6:32" ht="15.75" customHeight="1">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6:32" ht="15.75" customHeight="1">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6:32" ht="15.75" customHeight="1">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6:32" ht="15.75" customHeight="1">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6:32" ht="15.75" customHeight="1">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6:32" ht="15.75" customHeight="1">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6:32" ht="15.75" customHeight="1">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6:32" ht="15.75" customHeight="1">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6:32" ht="15.75" customHeight="1">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6:32" ht="15.75" customHeight="1">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6:32" ht="15.75" customHeight="1">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6:32" ht="15.75" customHeight="1">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6:32" ht="15.75" customHeight="1">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6:32" ht="15.75" customHeight="1">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6:32" ht="15.75" customHeight="1">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6:32" ht="15.75" customHeight="1">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6:32" ht="15.75" customHeight="1">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6:32" ht="15.75" customHeight="1">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6:32" ht="15.75" customHeight="1">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6:32" ht="15.75" customHeight="1">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6:32" ht="15.75" customHeight="1">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6:32" ht="15.75" customHeight="1">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6:32" ht="15.75" customHeight="1">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6:32" ht="15.75" customHeight="1">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6:32" ht="15.75" customHeight="1">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6:32" ht="15.75" customHeight="1">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6:32" ht="15.75" customHeight="1">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6:32" ht="15.75" customHeight="1">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6:32" ht="15.75" customHeight="1">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6:32" ht="15.75" customHeight="1">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6:32" ht="15.75" customHeight="1">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6:32" ht="15.75" customHeight="1">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6:32" ht="15.75" customHeight="1">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6:32" ht="15.75" customHeight="1">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6:32" ht="15.75" customHeight="1">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6:32" ht="15.75" customHeight="1">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6:32" ht="15.75" customHeight="1">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6:32" ht="15.75" customHeight="1">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6:32" ht="15.75" customHeight="1">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6:32" ht="15.75" customHeight="1">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6:32" ht="15.75" customHeight="1">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6:32" ht="15.75" customHeight="1">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6:32" ht="15.75" customHeight="1">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6:32" ht="15.75" customHeight="1">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6:32" ht="15.75" customHeight="1">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6:32" ht="15.75" customHeight="1">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6:32" ht="15.75" customHeight="1">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6:32" ht="15.75" customHeight="1">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6:32" ht="15.75" customHeight="1">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6:32" ht="15.75" customHeight="1">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6:32" ht="15.75" customHeight="1">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6:32" ht="15.75" customHeight="1">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6:32" ht="15.75" customHeight="1">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6:32" ht="15.75" customHeight="1">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6:32" ht="15.75" customHeight="1">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6:32" ht="15.75" customHeight="1">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6:32" ht="15.75" customHeight="1">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6:32" ht="15.75" customHeight="1">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6:32" ht="15.75" customHeight="1">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6:32" ht="15.75" customHeight="1">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6:32" ht="15.75" customHeight="1">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6:32" ht="15.75" customHeight="1">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6:32" ht="15.75" customHeight="1">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6:32" ht="15.75" customHeight="1">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6:32" ht="15.75" customHeight="1">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6:32" ht="15.75" customHeight="1">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6:32" ht="15.75" customHeight="1">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6:32" ht="15.75" customHeight="1">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6:32" ht="15.75" customHeight="1">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6:32" ht="15.75" customHeight="1">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6:32" ht="15.75" customHeight="1">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6:32" ht="15.75" customHeight="1">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6:32" ht="15.75" customHeight="1">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6:32" ht="15.75" customHeight="1">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6:32" ht="15.75" customHeight="1">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6:32" ht="15.75" customHeight="1">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6:32" ht="15.75" customHeight="1">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6:32" ht="15.75" customHeight="1">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6:32" ht="15.75" customHeight="1">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6:32" ht="15.75" customHeight="1">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6:32" ht="15.75" customHeight="1">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6:32" ht="15.75" customHeight="1">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6:32" ht="15.75" customHeight="1">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6:32" ht="15.75" customHeight="1">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6:32" ht="15.75" customHeight="1">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6:32" ht="15.75" customHeight="1">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6:32" ht="15.75" customHeight="1">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6:32" ht="15.75" customHeight="1">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6:32" ht="15.75" customHeight="1">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6:32" ht="15.75" customHeight="1">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6:32" ht="15.75" customHeight="1">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6:32" ht="15.75" customHeight="1">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6:32" ht="15.75" customHeight="1">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6:32" ht="15.75" customHeight="1">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6:32" ht="15.75" customHeight="1">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6:32" ht="15.75" customHeight="1">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6:32" ht="15.75" customHeight="1">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6:32" ht="15.75" customHeight="1">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6:32" ht="15.75" customHeight="1">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6:32" ht="15.75" customHeight="1">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6:32" ht="15.75" customHeight="1">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6:32" ht="15.75" customHeight="1">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6:32" ht="15.75" customHeight="1">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6:32" ht="15.75" customHeight="1">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6:32" ht="15.75" customHeight="1">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6:32" ht="15.75" customHeight="1">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6:32" ht="15.75" customHeight="1">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6:32" ht="15.75" customHeight="1">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6:32" ht="15.75" customHeight="1">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6:32" ht="15.75" customHeight="1">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6:32" ht="15.75" customHeight="1">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6:32" ht="15.75" customHeight="1">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6:32" ht="15.75" customHeight="1">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6:32" ht="15.75" customHeight="1">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6:32" ht="15.75" customHeight="1">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6:32" ht="15.75" customHeight="1">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6:32" ht="15.75" customHeight="1">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6:32" ht="15.75" customHeight="1">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6:32" ht="15.75" customHeight="1">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6:32" ht="15.75" customHeight="1">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6:32" ht="15.75" customHeight="1">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6:32" ht="15.75" customHeight="1">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6:32" ht="15.75" customHeight="1">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6:32" ht="15.75" customHeight="1">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6:32" ht="15.75" customHeight="1">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6:32" ht="15.75" customHeight="1">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6:32" ht="15.75" customHeight="1">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6:32" ht="15.75" customHeight="1">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6:32" ht="15.75" customHeight="1">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6:32" ht="15.75" customHeight="1">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6:32" ht="15.75" customHeight="1">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6:32" ht="15.75" customHeight="1">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6:32" ht="15.75" customHeight="1">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6:32" ht="15.75" customHeight="1">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6:32" ht="15.75" customHeight="1">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6:32" ht="15.75" customHeight="1">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6:32" ht="15.75" customHeight="1">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6:32" ht="15.75" customHeight="1">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6:32" ht="15.75" customHeight="1">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6:32" ht="15.75" customHeight="1">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6:32" ht="15.75" customHeight="1">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6:32" ht="15.75" customHeight="1">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6:32" ht="15.75" customHeight="1">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6:32" ht="15.75" customHeight="1">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6:32" ht="15.75" customHeight="1">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6:32" ht="15.75" customHeight="1">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6:32" ht="15.75" customHeight="1">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6:32" ht="15.75" customHeight="1">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6:32" ht="15.75" customHeight="1">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6:32" ht="15.75" customHeight="1">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6:32" ht="15.75" customHeight="1">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6:32" ht="15.75" customHeight="1">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6:32" ht="15.75" customHeight="1">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6:32" ht="15.75" customHeight="1">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6:32" ht="15.75" customHeight="1">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6:32" ht="15.75" customHeight="1">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6:32" ht="15.75" customHeight="1">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6:32" ht="15.75" customHeight="1">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6:32" ht="15.75" customHeight="1">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6:32" ht="15.75" customHeight="1">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6:32" ht="15.75" customHeight="1">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6:32" ht="15.75" customHeight="1">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6:32" ht="15.75" customHeight="1">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6:32" ht="15.75" customHeight="1">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6:32" ht="15.75" customHeight="1">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6:32" ht="15.75" customHeight="1">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6:32" ht="15.75" customHeight="1">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6:32" ht="15.75" customHeight="1">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6:32" ht="15.75" customHeight="1">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6:32" ht="15.75" customHeight="1">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6:32" ht="15.75" customHeight="1">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6:32" ht="15.75" customHeight="1">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6:32" ht="15.75" customHeight="1">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6:32" ht="15.75" customHeight="1">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6:32" ht="15.75" customHeight="1">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6:32" ht="15.75" customHeight="1">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6:32" ht="15.75" customHeight="1">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6:32" ht="15.75" customHeight="1">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6:32" ht="15.75" customHeight="1">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6:32" ht="15.75" customHeight="1">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6:32" ht="15.75" customHeight="1">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6:32" ht="15.75" customHeight="1">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6:32" ht="15.75" customHeight="1">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6:32" ht="15.75" customHeight="1">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6:32" ht="15.75" customHeight="1">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6:32" ht="15.75" customHeight="1">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6:32" ht="15.75" customHeight="1">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6:32" ht="15.75" customHeight="1">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6:32" ht="15.75" customHeight="1">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6:32" ht="15.75" customHeight="1">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6:32" ht="15.75" customHeight="1">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6:32" ht="15.75" customHeight="1">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6:32" ht="15.75" customHeight="1">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6:32" ht="15.75" customHeight="1">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6:32" ht="15.75" customHeight="1">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6:32" ht="15.75" customHeight="1">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6:32" ht="15.75" customHeight="1">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6:32" ht="15.75" customHeight="1">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6:32" ht="15.75" customHeight="1">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6:32" ht="15.75" customHeight="1">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6:32" ht="15.75" customHeight="1">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6:32" ht="15.75" customHeight="1">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6:32" ht="15.75" customHeight="1">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6:32" ht="15.75" customHeight="1">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6:32" ht="15.75" customHeight="1">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6:32" ht="15.75" customHeight="1">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6:32" ht="15.75" customHeight="1">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6:32" ht="15.75" customHeight="1">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6:32" ht="15.75" customHeight="1">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6:32" ht="15.75" customHeight="1">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6:32" ht="15.75" customHeight="1">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6:32" ht="15.75" customHeight="1">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6:32" ht="15.75" customHeight="1">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6:32" ht="15.75" customHeight="1">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6:32" ht="15.75" customHeight="1">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6:32" ht="15.75" customHeight="1">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6:32" ht="15.75" customHeight="1">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6:32" ht="15.75" customHeight="1">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6:32" ht="15.75" customHeight="1">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6:32" ht="15.75" customHeight="1">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6:32" ht="15.75" customHeight="1">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6:32" ht="15.75" customHeight="1">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6:32" ht="15.75" customHeight="1">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6:32" ht="15.75" customHeight="1">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6:32" ht="15.75" customHeight="1">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6:32" ht="15.75" customHeight="1">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6:32" ht="15.75" customHeight="1">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6:32" ht="15.75" customHeight="1">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6:32" ht="15.75" customHeight="1">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6:32" ht="15.75" customHeight="1">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6:32" ht="15.75" customHeight="1">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6:32" ht="15.75" customHeight="1">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6:32" ht="15.75" customHeight="1">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6:32" ht="15.75" customHeight="1">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6:32" ht="15.75" customHeight="1">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6:32" ht="15.75" customHeight="1">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6:32" ht="15.75" customHeight="1">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6:32" ht="15.75" customHeight="1">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6:32" ht="15.75" customHeight="1">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6:32" ht="15.75" customHeight="1">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6:32" ht="15.75" customHeight="1">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6:32" ht="15.75" customHeight="1">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6:32" ht="15.75" customHeight="1">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6:32" ht="15.75" customHeight="1">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6:32" ht="15.75" customHeight="1">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6:32" ht="15.75" customHeight="1">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6:32" ht="15.75" customHeight="1">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6:32" ht="15.75" customHeight="1">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6:32" ht="15.75" customHeight="1">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6:32" ht="15.75" customHeight="1">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6:32" ht="15.75" customHeight="1">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6:32" ht="15.75" customHeight="1">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6:32" ht="15.75" customHeight="1">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6:32" ht="15.75" customHeight="1">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6:32" ht="15.75" customHeight="1">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6:32" ht="15.75" customHeight="1">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6:32" ht="15.75" customHeight="1">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6:32" ht="15.75" customHeight="1">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6:32" ht="15.75" customHeight="1">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6:32" ht="15.75" customHeight="1">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6:32" ht="15.75" customHeight="1">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6:32" ht="15.75" customHeight="1">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6:32" ht="15.75" customHeight="1">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6:32" ht="15.75" customHeight="1">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6:32" ht="15.75" customHeight="1">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6:32" ht="15.75" customHeight="1">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6:32" ht="15.75" customHeight="1">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6:32" ht="15.75" customHeight="1">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6:32" ht="15.75" customHeight="1">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6:32" ht="15.75" customHeight="1">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6:32" ht="15.75" customHeight="1">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6:32" ht="15.75" customHeight="1">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6:32" ht="15.75" customHeight="1">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6:32" ht="15.75" customHeight="1">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6:32" ht="15.75" customHeight="1">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6:32" ht="15.75" customHeight="1">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6:32" ht="15.75" customHeight="1">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6:32" ht="15.75" customHeight="1">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6:32" ht="15.75" customHeight="1">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6:32" ht="15.75" customHeight="1">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6:32" ht="15.75" customHeight="1">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6:32" ht="15.75" customHeight="1">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6:32" ht="15.75" customHeight="1">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6:32" ht="15.75" customHeight="1">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6:32" ht="15.75" customHeight="1">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6:32" ht="15.75" customHeight="1">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6:32" ht="15.75" customHeight="1">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6:32" ht="15.75" customHeight="1">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6:32" ht="15.75" customHeight="1">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6:32" ht="15.75" customHeight="1">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6:32" ht="15.75" customHeight="1">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6:32" ht="15.75" customHeight="1">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6:32" ht="15.75" customHeight="1">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6:32" ht="15.75" customHeight="1">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6:32" ht="15.75" customHeight="1">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6:32" ht="15.75" customHeight="1">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6:32" ht="15.75" customHeight="1">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6:32" ht="15.75" customHeight="1">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6:32" ht="15.75" customHeight="1">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6:32" ht="15.75" customHeight="1">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6:32" ht="15.75" customHeight="1">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6:32" ht="15.75" customHeight="1">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6:32" ht="15.75" customHeight="1">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6:32" ht="15.75" customHeight="1">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6:32" ht="15.75" customHeight="1">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6:32" ht="15.75" customHeight="1">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6:32" ht="15.75" customHeight="1">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6:32" ht="15.75" customHeight="1">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6:32" ht="15.75" customHeight="1">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6:32" ht="15.75" customHeight="1">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6:32" ht="15.75" customHeight="1">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6:32" ht="15.75" customHeight="1">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6:32" ht="15.75" customHeight="1">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6:32" ht="15.75" customHeight="1">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6:32" ht="15.75" customHeight="1">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6:32" ht="15.75" customHeight="1">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6:32" ht="15.75" customHeight="1">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6:32" ht="15.75" customHeight="1">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6:32" ht="15.75" customHeight="1">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6:32" ht="15.75" customHeight="1">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6:32" ht="15.75" customHeight="1">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6:32" ht="15.75" customHeight="1">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6:32" ht="15.75" customHeight="1">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6:32" ht="15.75" customHeight="1">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6:32" ht="15.75" customHeight="1">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6:32" ht="15.75" customHeight="1">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6:32" ht="15.75" customHeight="1">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6:32" ht="15.75" customHeight="1">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6:32" ht="15.75" customHeight="1">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6:32" ht="15.75" customHeight="1">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6:32" ht="15.75" customHeight="1">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6:32" ht="15.75" customHeight="1">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6:32" ht="15.75" customHeight="1">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6:32" ht="15.75" customHeight="1">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6:32" ht="15.75" customHeight="1">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6:32" ht="15.75" customHeight="1">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6:32" ht="15.75" customHeight="1">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6:32" ht="15.75" customHeight="1">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6:32" ht="15.75" customHeight="1">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6:32" ht="15.75" customHeight="1">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6:32" ht="15.75" customHeight="1">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6:32" ht="15.75" customHeight="1">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6:32" ht="15.75" customHeight="1">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6:32" ht="15.75" customHeight="1">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6:32" ht="15.75" customHeight="1">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6:32" ht="15.75" customHeight="1">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6:32" ht="15.75" customHeight="1">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6:32" ht="15.75" customHeight="1">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6:32" ht="15.75" customHeight="1">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6:32" ht="15.75" customHeight="1">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6:32" ht="15.75" customHeight="1">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6:32" ht="15.75" customHeight="1">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6:32" ht="15.75" customHeight="1">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6:32" ht="15.75" customHeight="1">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6:32" ht="15.75" customHeight="1">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6:32" ht="15.75" customHeight="1">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6:32" ht="15.75" customHeight="1">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6:32" ht="15.75" customHeight="1">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6:32" ht="15.75" customHeight="1">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6:32" ht="15.75" customHeight="1">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6:32" ht="15.75" customHeight="1">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6:32" ht="15.75" customHeight="1">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6:32" ht="15.75" customHeight="1">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6:32" ht="15.75" customHeight="1">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6:32" ht="15.75" customHeight="1">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6:32" ht="15.75" customHeight="1">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6:32" ht="15.75" customHeight="1">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6:32" ht="15.75" customHeight="1">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6:32" ht="15.75" customHeight="1">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6:32" ht="15.75" customHeight="1">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6:32" ht="15.75" customHeight="1">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6:32" ht="15.75" customHeight="1">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6:32" ht="15.75" customHeight="1">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6:32" ht="15.75" customHeight="1">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6:32" ht="15.75" customHeight="1">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6:32" ht="15.75" customHeight="1">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6:32" ht="15.75" customHeight="1">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6:32" ht="15.75" customHeight="1">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6:32" ht="15.75" customHeight="1">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6:32" ht="15.75" customHeight="1">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6:32" ht="15.75" customHeight="1">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6:32" ht="15.75" customHeight="1">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6:32" ht="15.75" customHeight="1">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6:32" ht="15.75" customHeight="1">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6:32" ht="15.75" customHeight="1">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6:32" ht="15.75" customHeight="1">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6:32" ht="15.75" customHeight="1">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6:32" ht="15.75" customHeight="1">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6:32" ht="15.75" customHeight="1">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6:32" ht="15.75" customHeight="1">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6:32" ht="15.75" customHeight="1">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6:32" ht="15.75" customHeight="1">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6:32" ht="15.75" customHeight="1">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6:32" ht="15.75" customHeight="1">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6:32" ht="15.75" customHeight="1">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6:32" ht="15.75" customHeight="1">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6:32" ht="15.75" customHeight="1">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6:32" ht="15.75" customHeight="1">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6:32" ht="15.75" customHeight="1">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6:32" ht="15.75" customHeight="1">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6:32" ht="15.75" customHeight="1">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6:32" ht="15.75" customHeight="1">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6:32" ht="15.75" customHeight="1">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6:32" ht="15.75" customHeight="1">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6:32" ht="15.75" customHeight="1">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6:32" ht="15.75" customHeight="1">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6:32" ht="15.75" customHeight="1">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6:32" ht="15.75" customHeight="1">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6:32" ht="15.75" customHeight="1">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6:32" ht="15.75" customHeight="1">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6:32" ht="15.75" customHeight="1">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6:32" ht="15.75" customHeight="1">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6:32" ht="15.75" customHeight="1">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6:32" ht="15.75" customHeight="1">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6:32" ht="15.75" customHeight="1">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6:32" ht="15.75" customHeight="1">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6:32" ht="15.75" customHeight="1">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6:32" ht="15.75" customHeight="1">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6:32" ht="15.75" customHeight="1">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6:32" ht="15.75" customHeight="1">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6:32" ht="15.75" customHeight="1">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6:32" ht="15.75" customHeight="1">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6:32" ht="15.75" customHeight="1">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6:32" ht="15.75" customHeight="1">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6:32" ht="15.75" customHeight="1">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6:32" ht="15.75" customHeight="1">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6:32" ht="15.75" customHeight="1">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6:32" ht="15.75" customHeight="1">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6:32" ht="15.75" customHeight="1">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6:32" ht="15.75" customHeight="1">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6:32" ht="15.75" customHeight="1">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6:32" ht="15.75" customHeight="1">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6:32" ht="15.75" customHeight="1">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6:32" ht="15.75" customHeight="1">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6:32" ht="15.75" customHeight="1">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6:32" ht="15.75" customHeight="1">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6:32" ht="15.75" customHeight="1">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6:32" ht="15.75" customHeight="1">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6:32" ht="15.75" customHeight="1">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6:32" ht="15.75" customHeight="1">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6:32" ht="15.75" customHeight="1">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6:32" ht="15.75" customHeight="1">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6:32" ht="15.75" customHeight="1">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6:32" ht="15.75" customHeight="1">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6:32" ht="15.75" customHeight="1">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6:32" ht="15.75" customHeight="1">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6:32" ht="15.75" customHeight="1">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6:32" ht="15.75" customHeight="1">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6:32" ht="15.75" customHeight="1">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6:32" ht="15.75" customHeight="1">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6:32" ht="15.75" customHeight="1">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6:32" ht="15.75" customHeight="1">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6:32" ht="15.75" customHeight="1">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6:32" ht="15.75" customHeight="1">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6:32" ht="15.75" customHeight="1">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6:32" ht="15.75" customHeight="1">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6:32" ht="15.75" customHeight="1">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6:32" ht="15.75" customHeight="1">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6:32" ht="15.75" customHeight="1">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6:32" ht="15.75" customHeight="1">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6:32" ht="15.75" customHeight="1">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6:32" ht="15.75" customHeight="1">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6:32" ht="15.75" customHeight="1">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6:32" ht="15.75" customHeight="1">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6:32" ht="15.75" customHeight="1">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6:32" ht="15.75" customHeight="1">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6:32" ht="15.75" customHeight="1">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6:32" ht="15.75" customHeight="1">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6:32" ht="15.75" customHeight="1">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6:32" ht="15.75" customHeight="1">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6:32" ht="15.75" customHeight="1">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6:32" ht="15.75" customHeight="1">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6:32" ht="15.75" customHeight="1">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6:32" ht="15.75" customHeight="1">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6:32" ht="15.75" customHeight="1">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6:32" ht="15.75" customHeight="1">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6:32" ht="15.75" customHeight="1">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6:32" ht="15.75" customHeight="1">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6:32" ht="15.75" customHeight="1">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6:32" ht="15.75" customHeight="1">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6:32" ht="15.75" customHeight="1">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6:32" ht="15.75" customHeight="1">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6:32" ht="15.75" customHeight="1">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6:32" ht="15.75" customHeight="1">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6:32" ht="15.75" customHeight="1">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6:32" ht="15.75" customHeight="1">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6:32" ht="15.75" customHeight="1">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6:32" ht="15.75" customHeight="1">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6:32" ht="15.75" customHeight="1">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6:32" ht="15.75" customHeight="1">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6:32" ht="15.75" customHeight="1">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6:32" ht="15.75" customHeight="1">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6:32" ht="15.75" customHeight="1">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6:32" ht="15.75" customHeight="1">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6:32" ht="15.75" customHeight="1">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6:32" ht="15.75" customHeight="1">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6:32" ht="15.75" customHeight="1">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6:32" ht="15.75" customHeight="1">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6:32" ht="15.75" customHeight="1">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6:32" ht="15.75" customHeight="1">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6:32" ht="15.75" customHeight="1">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6:32" ht="15.75" customHeight="1">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6:32" ht="15.75" customHeight="1">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6:32" ht="15.75" customHeight="1">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6:32" ht="15.75" customHeight="1">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6:32" ht="15.75" customHeight="1">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6:32" ht="15.75" customHeight="1">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6:32" ht="15.75" customHeight="1">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6:32" ht="15.75" customHeight="1">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6:32" ht="15.75" customHeight="1">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6:32" ht="15.75" customHeight="1">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6:32" ht="15.75" customHeight="1">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6:32" ht="15.75" customHeight="1">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6:32" ht="15.75" customHeight="1">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6:32" ht="15.75" customHeight="1">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6:32" ht="15.75" customHeight="1">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6:32" ht="15.75" customHeight="1">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6:32" ht="15.75" customHeight="1">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6:32" ht="15.75" customHeight="1">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6:32" ht="15.75" customHeight="1">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6:32" ht="15.75" customHeight="1">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6:32" ht="15.75" customHeight="1">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6:32" ht="15.75" customHeight="1">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6:32" ht="15.75" customHeight="1">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6:32" ht="15.75" customHeight="1">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6:32" ht="15.75" customHeight="1">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6:32" ht="15.75" customHeight="1">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6:32" ht="15.75" customHeight="1">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6:32" ht="15.75" customHeight="1">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6:32" ht="15.75" customHeight="1">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6:32" ht="15.75" customHeight="1">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6:32" ht="15.75" customHeight="1">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6:32" ht="15.75" customHeight="1">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6:32" ht="15.75" customHeight="1">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6:32" ht="15.75" customHeight="1">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6:32" ht="15.75" customHeight="1">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6:32" ht="15.75" customHeight="1">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6:32" ht="15.75" customHeight="1">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6:32" ht="15.75" customHeight="1">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6:32" ht="15.75" customHeight="1">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6:32" ht="15.75" customHeight="1">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6:32" ht="15.75" customHeight="1">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6:32" ht="15.75" customHeight="1">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6:32" ht="15.75" customHeight="1">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6:32" ht="15.75" customHeight="1">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6:32" ht="15.75" customHeight="1">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6:32" ht="15.75" customHeight="1">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6:32" ht="15.75" customHeight="1">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6:32" ht="15.75" customHeight="1">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6:32" ht="15.75" customHeight="1">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6:32" ht="15.75" customHeight="1">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6:32" ht="15.75" customHeight="1">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6:32" ht="15.75" customHeight="1">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6:32" ht="15.75" customHeight="1">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6:32" ht="15.75" customHeight="1">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6:32" ht="15.75" customHeight="1">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6:32" ht="15.75" customHeight="1">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6:32" ht="15.75" customHeight="1">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6:32" ht="15.75" customHeight="1">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6:32" ht="15.75" customHeight="1">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6:32" ht="15.75" customHeight="1">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6:32" ht="15.75" customHeight="1">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6:32" ht="15.75" customHeight="1">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6:32" ht="15.75" customHeight="1">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6:32" ht="15.75" customHeight="1">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6:32" ht="15.75" customHeight="1">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6:32" ht="15.75" customHeight="1">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6:32" ht="15.75" customHeight="1">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6:32" ht="15.75" customHeight="1">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6:32" ht="15.75" customHeight="1">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6:32" ht="15.75" customHeight="1">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6:32" ht="15.75" customHeight="1">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6:32" ht="15.75" customHeight="1">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6:32" ht="15.75" customHeight="1">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6:32" ht="15.75" customHeight="1">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6:32" ht="15.75" customHeight="1">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6:32" ht="15.75" customHeight="1">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6:32" ht="15.75" customHeight="1">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6:32" ht="15.75" customHeight="1">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6:32" ht="15.75" customHeight="1">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6:32" ht="15.75" customHeight="1">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6:32" ht="15.75" customHeight="1">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6:32" ht="15.75" customHeight="1">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6:32" ht="15.75" customHeight="1">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6:32" ht="15.75" customHeight="1">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6:32" ht="15.75" customHeight="1">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6:32" ht="15.75" customHeight="1">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6:32" ht="15.75" customHeight="1">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6:32" ht="15.75" customHeight="1">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6:32" ht="15.75" customHeight="1">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6:32" ht="15.75" customHeight="1">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6:32" ht="15.75" customHeight="1">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6:32" ht="15.75" customHeight="1">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6:32" ht="15.75" customHeight="1">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6:32" ht="15.75" customHeight="1">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6:32" ht="15.75" customHeight="1">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6:32" ht="15.75" customHeight="1">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6:32" ht="15.75" customHeight="1">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6:32" ht="15.75" customHeight="1">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6:32" ht="15.75" customHeight="1">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6:32" ht="15.75" customHeight="1">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6:32" ht="15.75" customHeight="1">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6:32" ht="15.75" customHeight="1">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6:32" ht="15.75" customHeight="1">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6:32" ht="15.75" customHeight="1">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6:32" ht="15.75" customHeight="1">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6:32" ht="15.75" customHeight="1">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6:32" ht="15.75" customHeight="1">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6:32" ht="15.75" customHeight="1">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6:32" ht="15.75" customHeight="1">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6:32" ht="15.75" customHeight="1">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6:32" ht="15.75" customHeight="1">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6:32" ht="15.75" customHeight="1">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6:32" ht="15.75" customHeight="1">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6:32" ht="15.75" customHeight="1">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6:32" ht="15.75" customHeight="1">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6:32" ht="15.75" customHeight="1">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6:32" ht="15.75" customHeight="1">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6:32" ht="15.75" customHeight="1">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6:32" ht="15.75" customHeight="1">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6:32" ht="15.75" customHeight="1">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6:32" ht="15.75" customHeight="1">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6:32" ht="15.75" customHeight="1">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6:32" ht="15.75" customHeight="1">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6:32" ht="15.75" customHeight="1">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6:32" ht="15.75" customHeight="1">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6:32" ht="15.75" customHeight="1">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6:32" ht="15.75" customHeight="1">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6:32" ht="15.75" customHeight="1">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6:32" ht="15.75" customHeight="1">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6:32" ht="15.75" customHeight="1">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6:32" ht="15.75" customHeight="1">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6:32" ht="15.75" customHeight="1">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6:32" ht="15.75" customHeight="1">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6:32" ht="15.75" customHeight="1">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6:32" ht="15.75" customHeight="1">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6:32" ht="15.75" customHeight="1">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6:32" ht="15.75" customHeight="1">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6:32" ht="15.75" customHeight="1">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6:32" ht="15.75" customHeight="1">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6:32" ht="15.75" customHeight="1">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6:32" ht="15.75" customHeight="1">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6:32" ht="15.75" customHeight="1">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6:32" ht="15.75" customHeight="1">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6:32" ht="15.75" customHeight="1">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6:32" ht="15.75" customHeight="1">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6:32" ht="15.75" customHeight="1">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6:32" ht="15.75" customHeight="1">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6:32" ht="15.75" customHeight="1">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6:32" ht="15.75" customHeight="1">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6:32" ht="15.75" customHeight="1">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6:32" ht="15.75" customHeight="1">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6:32" ht="15.75" customHeight="1">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6:32" ht="15.75" customHeight="1">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6:32" ht="15.75" customHeight="1">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6:32" ht="15.75" customHeight="1">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6:32" ht="15.75" customHeight="1">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6:32" ht="15.75" customHeight="1">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6:32" ht="15.75" customHeight="1">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6:32" ht="15.75" customHeight="1">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6:32" ht="15.75" customHeight="1">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6:32" ht="15.75" customHeight="1">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6:32" ht="15.75" customHeight="1">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6:32" ht="15.75" customHeight="1">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6:32" ht="15.75" customHeight="1">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6:32" ht="15.75" customHeight="1">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6:32" ht="15.75" customHeight="1">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6:32" ht="15.75" customHeight="1">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6:32" ht="15.75" customHeight="1">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6:32" ht="15.75" customHeight="1">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6:32" ht="15.75" customHeight="1">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6:32" ht="15.75" customHeight="1">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6:32" ht="15.75" customHeight="1">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6:32" ht="15.75" customHeight="1">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6:32" ht="15.75" customHeight="1">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6:32" ht="15.75" customHeight="1">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6:32" ht="15.75" customHeight="1">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6:32" ht="15.75" customHeight="1">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6:32" ht="15.75" customHeight="1">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6:32" ht="15.75" customHeight="1">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6:32" ht="15.75" customHeight="1">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6:32" ht="15.75" customHeight="1">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6:32" ht="15.75" customHeight="1">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6:32" ht="15.75" customHeight="1">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6:32" ht="15.75" customHeight="1">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6:32" ht="15.75" customHeight="1">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6:32" ht="15.75" customHeight="1">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6:32" ht="15.75" customHeight="1">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6:32" ht="15.75" customHeight="1">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6:32" ht="15.75" customHeight="1">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6:32" ht="15.75" customHeight="1">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6:32" ht="15.75" customHeight="1">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6:32" ht="15.75" customHeight="1">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6:32" ht="15.75" customHeight="1">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6:32" ht="15.75" customHeight="1">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6:32" ht="15.75" customHeight="1">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6:32" ht="15.75" customHeight="1">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6:32" ht="15.75" customHeight="1">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6:32" ht="15.75" customHeight="1">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6:32" ht="15.75" customHeight="1">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6:32" ht="15.75" customHeight="1">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6:32" ht="15.75" customHeight="1">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6:32" ht="15.75" customHeight="1">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6:32" ht="15.75" customHeight="1">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6:32" ht="15.75" customHeight="1">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6:32" ht="15.75" customHeight="1">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6:32" ht="15.75" customHeight="1">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6:32" ht="15.75" customHeight="1">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6:32" ht="15.75" customHeight="1">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6:32" ht="15.75" customHeight="1">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6:32" ht="15.75" customHeight="1">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6:32" ht="15.75" customHeight="1">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6:32" ht="15.75" customHeight="1">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6:32" ht="15.75" customHeight="1">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6:32" ht="15.75" customHeight="1">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6:32" ht="15.75" customHeight="1">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6:32" ht="15.75" customHeight="1">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6:32" ht="15.75" customHeight="1">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6:32" ht="15.75" customHeight="1">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6:32" ht="15.75" customHeight="1">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6:32" ht="15.75" customHeight="1">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6:32" ht="15.75" customHeight="1">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6:32" ht="15.75" customHeight="1">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6:32" ht="15.75" customHeight="1">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6:32" ht="15.75" customHeight="1">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6:32" ht="15.75" customHeight="1">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6:32" ht="15.75" customHeight="1">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6:32" ht="15.75" customHeight="1">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6:32" ht="15.75" customHeight="1">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6:32" ht="15.75" customHeight="1">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6:32" ht="15.75" customHeight="1">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6:32" ht="15.75" customHeight="1">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6:32" ht="15.75" customHeight="1">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6:32" ht="15.75" customHeight="1">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6:32" ht="15.75" customHeight="1">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6:32" ht="15.75" customHeight="1">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6:32" ht="15.75" customHeight="1">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6:32" ht="15.75" customHeight="1">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6:32" ht="15.75" customHeight="1">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6:32" ht="15.75" customHeight="1">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6:32" ht="15.75" customHeight="1">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6:32" ht="15.75" customHeight="1">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6:32" ht="15.75" customHeight="1">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6:32" ht="15.75" customHeight="1">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6:32" ht="15.75" customHeight="1">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6:32" ht="15.75" customHeight="1">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6:32" ht="15.75" customHeight="1">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6:32" ht="15.75" customHeight="1">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6:32" ht="15.75" customHeight="1">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6:32" ht="15.75" customHeight="1">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6:32" ht="15.75" customHeight="1">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6:32" ht="15.75" customHeight="1">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6:32" ht="15.75" customHeight="1">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6:32" ht="15.75" customHeight="1">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6:32" ht="15.75" customHeight="1">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6:32" ht="15.75" customHeight="1">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6:32" ht="15.75" customHeight="1">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6:32" ht="15.75" customHeight="1">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6:32" ht="15.75" customHeight="1">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6:32" ht="15.75" customHeight="1">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6:32" ht="15.75" customHeight="1">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6:32" ht="15.75" customHeight="1">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6:32" ht="15.75" customHeight="1">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6:32" ht="15.75" customHeight="1">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6:32" ht="15.75" customHeight="1">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6:32" ht="15.75" customHeight="1">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6:32" ht="15.75" customHeight="1">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6:32" ht="15.75" customHeight="1">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6:32" ht="15.75" customHeight="1">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6:32" ht="15.75" customHeight="1">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6:32" ht="15.75" customHeight="1">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6:32" ht="15.75" customHeight="1">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6:32" ht="15.75" customHeight="1">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6:32" ht="15.75" customHeight="1">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6:32" ht="15.75" customHeight="1">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6:32" ht="15.75" customHeight="1">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6:32" ht="15.75" customHeight="1">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6:32" ht="15.75" customHeight="1">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6:32" ht="15.75" customHeight="1">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6:32" ht="15.75" customHeight="1">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6:32" ht="15.75" customHeight="1">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6:32" ht="15.75" customHeight="1">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6:32" ht="15.75" customHeight="1">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6:32" ht="15.75" customHeight="1">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6:32" ht="15.75" customHeight="1">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6:32" ht="15.75" customHeight="1">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6:32" ht="15.75" customHeight="1">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6:32" ht="15.75" customHeight="1">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6:32" ht="15.75" customHeight="1">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6:32" ht="15.75" customHeight="1">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6:32" ht="15.75" customHeight="1">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6:32" ht="15.75" customHeight="1">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6:32" ht="15.75" customHeight="1">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6:32" ht="15.75" customHeight="1">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6:32" ht="15.75" customHeight="1">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6:32" ht="15.75" customHeight="1">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6:32" ht="15.75" customHeight="1">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6:32" ht="15.75" customHeight="1">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6:32" ht="15.75" customHeight="1">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6:32" ht="15.75" customHeight="1">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6:32" ht="15.75" customHeight="1">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6:32" ht="15.75" customHeight="1">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6:32" ht="15.75" customHeight="1">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6:32" ht="15.75" customHeight="1">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6:32" ht="15.75" customHeight="1">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6:32" ht="15.75" customHeight="1">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6:32" ht="15.75" customHeight="1">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6:32" ht="15.75" customHeight="1">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6:32" ht="15.75" customHeight="1">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6:32" ht="15.75" customHeight="1">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6:32" ht="15.75" customHeight="1">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6:32" ht="15.75" customHeight="1">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6:32" ht="15.75" customHeight="1">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6:32" ht="15.75" customHeight="1">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6:32" ht="15.75" customHeight="1">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6:32" ht="15.75" customHeight="1">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6:32" ht="15.75" customHeight="1">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6:32" ht="15.75" customHeight="1">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6:32" ht="15.75" customHeight="1">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6:32" ht="15.75" customHeight="1">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6:32" ht="15.75" customHeight="1">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spans="6:32" ht="15.75" customHeight="1">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spans="6:32" ht="15.75" customHeight="1">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spans="6:32" ht="15.75" customHeight="1">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spans="6:32" ht="15.75" customHeight="1">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spans="6:32" ht="15.75" customHeight="1">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spans="6:32" ht="15.75" customHeight="1">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spans="6:32" ht="15.75" customHeight="1">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spans="6:32" ht="15.75" customHeight="1">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spans="6:32" ht="15.75" customHeight="1">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spans="6:32" ht="15.75" customHeight="1">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spans="6:32" ht="15.75" customHeight="1">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spans="6:32" ht="15.75" customHeight="1">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spans="6:32" ht="15.75" customHeight="1">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spans="6:32" ht="15.75" customHeight="1">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spans="6:32" ht="15.75" customHeight="1">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spans="6:32" ht="15.75" customHeight="1">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spans="6:32" ht="15.75" customHeight="1">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spans="6:32" ht="15.75" customHeight="1">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spans="6:32" ht="15.75" customHeight="1">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spans="6:32" ht="15.75" customHeight="1">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spans="6:32" ht="15.75" customHeight="1">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spans="6:32" ht="15.75" customHeight="1">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spans="6:32" ht="15.75" customHeight="1">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spans="6:32" ht="15.75" customHeight="1">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spans="6:32" ht="15.75" customHeight="1">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spans="6:32" ht="15.75" customHeight="1">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spans="6:32" ht="15.75" customHeight="1">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spans="6:32" ht="15.75" customHeight="1">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spans="6:32" ht="15.75" customHeight="1">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spans="6:32" ht="15.75" customHeight="1">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spans="6:32" ht="15.75" customHeight="1">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spans="6:32" ht="15.75" customHeight="1">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spans="6:32" ht="15.75" customHeight="1">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spans="6:32" ht="15.75" customHeight="1">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spans="6:32" ht="15.75" customHeight="1">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spans="6:32" ht="15.75" customHeight="1">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spans="6:32" ht="15.75" customHeight="1">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spans="6:32" ht="15.75" customHeight="1">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spans="6:32" ht="15.75" customHeight="1">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spans="6:32" ht="15.75" customHeight="1">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spans="6:32" ht="15.75" customHeight="1">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spans="6:32" ht="15.75" customHeight="1">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spans="6:32" ht="15.75" customHeight="1">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row r="1001" spans="6:32" ht="15.75" customHeight="1">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row>
    <row r="1002" spans="6:32" ht="15.75" customHeight="1">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row>
    <row r="1003" spans="6:32" ht="15.75" customHeight="1">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row>
    <row r="1004" spans="6:32" ht="15.75" customHeight="1">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row>
    <row r="1005" spans="6:32" ht="15.75" customHeight="1">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row>
    <row r="1006" spans="6:32" ht="15.75" customHeight="1">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row>
    <row r="1007" spans="6:32" ht="15.75" customHeight="1">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row>
    <row r="1008" spans="6:32" ht="15.75" customHeight="1">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row>
    <row r="1009" spans="6:32" ht="15.75" customHeight="1">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row>
    <row r="1010" spans="6:32" ht="15.75" customHeight="1">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row>
    <row r="1011" spans="6:32" ht="15.75" customHeight="1">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row>
    <row r="1012" spans="6:32" ht="15.75" customHeight="1">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row>
    <row r="1013" spans="6:32" ht="15.75" customHeight="1">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row>
    <row r="1014" spans="6:32" ht="15.75" customHeight="1">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row>
    <row r="1015" spans="6:32" ht="15.75" customHeight="1">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row>
    <row r="1016" spans="6:32" ht="15.75" customHeight="1">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row>
    <row r="1017" spans="6:32" ht="15.75" customHeight="1">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row>
    <row r="1018" spans="6:32" ht="15.75" customHeight="1">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row>
    <row r="1019" spans="6:32" ht="15.75" customHeight="1">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row>
    <row r="1020" spans="6:32" ht="15.75" customHeight="1">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row>
    <row r="1021" spans="6:32" ht="15.75" customHeight="1">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row>
    <row r="1022" spans="6:32" ht="15.75" customHeight="1">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row>
    <row r="1023" spans="6:32" ht="15.75" customHeight="1">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row>
    <row r="1024" spans="6:32" ht="15.75" customHeight="1">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row>
    <row r="1025" spans="6:32" ht="15.75" customHeight="1">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row>
    <row r="1026" spans="6:32" ht="15.75" customHeight="1">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row>
    <row r="1027" spans="6:32" ht="15.75" customHeight="1">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row>
    <row r="1028" spans="6:32" ht="15.75" customHeight="1">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row>
    <row r="1029" spans="6:32" ht="15.75" customHeight="1">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row>
    <row r="1030" spans="6:32" ht="15.75" customHeight="1">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row>
    <row r="1031" spans="6:32" ht="15.75" customHeight="1">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row>
    <row r="1032" spans="6:32" ht="15.75" customHeight="1">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row>
    <row r="1033" spans="6:32" ht="15.75" customHeight="1">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row>
    <row r="1034" spans="6:32" ht="15.75" customHeight="1">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row>
    <row r="1035" spans="6:32" ht="15.75" customHeight="1">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row>
    <row r="1036" spans="6:32" ht="15.75" customHeight="1">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row>
    <row r="1037" spans="6:32" ht="15.75" customHeight="1">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row>
    <row r="1038" spans="6:32" ht="15.75" customHeight="1">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row>
    <row r="1039" spans="6:32" ht="15.75" customHeight="1">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row>
    <row r="1040" spans="6:32" ht="15.75" customHeight="1">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row>
    <row r="1041" spans="6:32" ht="15.75" customHeight="1">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row>
    <row r="1042" spans="6:32" ht="15.75" customHeight="1">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row>
    <row r="1043" spans="6:32" ht="15.75" customHeight="1">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row>
    <row r="1044" spans="6:32" ht="15.75" customHeight="1">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row>
    <row r="1045" spans="6:32" ht="15.75" customHeight="1">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row>
    <row r="1046" spans="6:32" ht="15.75" customHeight="1">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row>
    <row r="1047" spans="6:32" ht="15.75" customHeight="1">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row>
    <row r="1048" spans="6:32" ht="15.75" customHeight="1">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row>
    <row r="1049" spans="6:32" ht="15.75" customHeight="1">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row>
    <row r="1050" spans="6:32" ht="15.75" customHeight="1">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row>
    <row r="1051" spans="6:32" ht="15.75" customHeight="1">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row>
    <row r="1052" spans="6:32" ht="15.75" customHeight="1">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row>
    <row r="1053" spans="6:32" ht="15.75" customHeight="1">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row>
    <row r="1054" spans="6:32" ht="15.75" customHeight="1">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row>
    <row r="1055" spans="6:32" ht="15.75" customHeight="1">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row>
    <row r="1056" spans="6:32" ht="15.75" customHeight="1">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row>
    <row r="1057" spans="6:32" ht="15.75" customHeight="1">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row>
    <row r="1058" spans="6:32" ht="15.75" customHeight="1">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row>
    <row r="1059" spans="6:32" ht="15.75" customHeight="1">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row>
    <row r="1060" spans="6:32" ht="15.75" customHeight="1">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row>
    <row r="1061" spans="6:32" ht="15.75" customHeight="1">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row>
    <row r="1062" spans="6:32" ht="15.75" customHeight="1">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row>
    <row r="1063" spans="6:32" ht="15.75" customHeight="1">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row>
    <row r="1064" spans="6:32" ht="15.75" customHeight="1">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row>
    <row r="1065" spans="6:32" ht="15.75" customHeight="1">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row>
    <row r="1066" spans="6:32" ht="15.75" customHeight="1">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row>
    <row r="1067" spans="6:32" ht="15.75" customHeight="1">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row>
    <row r="1068" spans="6:32" ht="15.75" customHeight="1">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row>
    <row r="1069" spans="6:32" ht="15.75" customHeight="1">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row>
    <row r="1070" spans="6:32" ht="15.75" customHeight="1">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row>
    <row r="1071" spans="6:32" ht="15.75" customHeight="1">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row>
    <row r="1072" spans="6:32" ht="15.75" customHeight="1">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row>
    <row r="1073" spans="6:32" ht="15.75" customHeight="1">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row>
    <row r="1074" spans="6:32" ht="15.75" customHeight="1">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row>
    <row r="1075" spans="6:32" ht="15.75" customHeight="1">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row>
    <row r="1076" spans="6:32" ht="15.75" customHeight="1">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row>
    <row r="1077" spans="6:32" ht="15.75" customHeight="1">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row>
    <row r="1078" spans="6:32" ht="15.75" customHeight="1">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row>
    <row r="1079" spans="6:32" ht="15.75" customHeight="1">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row>
    <row r="1080" spans="6:32" ht="15.75" customHeight="1">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row>
    <row r="1081" spans="6:32" ht="15.75" customHeight="1">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row>
    <row r="1082" spans="6:32" ht="15.75" customHeight="1">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row>
    <row r="1083" spans="6:32" ht="15.75" customHeight="1">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row>
    <row r="1084" spans="6:32" ht="15.75" customHeight="1">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row>
    <row r="1085" spans="6:32" ht="15.75" customHeight="1">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row>
    <row r="1086" spans="6:32" ht="15.75" customHeight="1">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row>
    <row r="1087" spans="6:32" ht="15.75" customHeight="1">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row>
    <row r="1088" spans="6:32" ht="15.75" customHeight="1">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row>
    <row r="1089" spans="6:32" ht="15.75" customHeight="1">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row>
    <row r="1090" spans="6:32" ht="15.75" customHeight="1">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row>
    <row r="1091" spans="6:32" ht="15.75" customHeight="1">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row>
    <row r="1092" spans="6:32" ht="15.75" customHeight="1">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row>
    <row r="1093" spans="6:32" ht="15.75" customHeight="1">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row>
    <row r="1094" spans="6:32" ht="15.75" customHeight="1">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row>
    <row r="1095" spans="6:32" ht="15.75" customHeight="1">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row>
    <row r="1096" spans="6:32" ht="15.75" customHeight="1">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row>
    <row r="1097" spans="6:32" ht="15.75" customHeight="1">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row>
    <row r="1098" spans="6:32" ht="15.75" customHeight="1">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row>
    <row r="1099" spans="6:32" ht="15.75" customHeight="1">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row>
    <row r="1100" spans="6:32" ht="15.75" customHeight="1">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row>
    <row r="1101" spans="6:32" ht="15.75" customHeight="1">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row>
    <row r="1102" spans="6:32" ht="15.75" customHeight="1">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row>
    <row r="1103" spans="6:32" ht="15.75" customHeight="1">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row>
    <row r="1104" spans="6:32" ht="15.75" customHeight="1">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row>
    <row r="1105" spans="6:32" ht="15.75" customHeight="1">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8" r:id="rId35" xr:uid="{00000000-0004-0000-0000-000022000000}"/>
    <hyperlink ref="J40" r:id="rId36" xr:uid="{00000000-0004-0000-0000-000023000000}"/>
    <hyperlink ref="J41" r:id="rId37" xr:uid="{00000000-0004-0000-0000-000024000000}"/>
    <hyperlink ref="J42" r:id="rId38" xr:uid="{00000000-0004-0000-0000-000025000000}"/>
    <hyperlink ref="J43" r:id="rId39" xr:uid="{00000000-0004-0000-0000-000026000000}"/>
    <hyperlink ref="J44" r:id="rId40" xr:uid="{00000000-0004-0000-0000-000027000000}"/>
    <hyperlink ref="K44" r:id="rId41" xr:uid="{00000000-0004-0000-0000-000028000000}"/>
    <hyperlink ref="J45" r:id="rId42" xr:uid="{00000000-0004-0000-0000-000029000000}"/>
    <hyperlink ref="K45" r:id="rId43" xr:uid="{00000000-0004-0000-0000-00002A000000}"/>
    <hyperlink ref="J46" r:id="rId44" xr:uid="{00000000-0004-0000-0000-00002B000000}"/>
    <hyperlink ref="J47" r:id="rId45" xr:uid="{00000000-0004-0000-0000-00002C000000}"/>
    <hyperlink ref="J48" r:id="rId46" xr:uid="{00000000-0004-0000-0000-00002D000000}"/>
    <hyperlink ref="J49" r:id="rId47" xr:uid="{00000000-0004-0000-0000-00002E000000}"/>
    <hyperlink ref="J50" r:id="rId48" xr:uid="{00000000-0004-0000-0000-00002F000000}"/>
    <hyperlink ref="J51" r:id="rId49" xr:uid="{00000000-0004-0000-0000-000030000000}"/>
    <hyperlink ref="J55" r:id="rId50" xr:uid="{00000000-0004-0000-0000-000031000000}"/>
    <hyperlink ref="J56" r:id="rId51" xr:uid="{00000000-0004-0000-0000-000032000000}"/>
    <hyperlink ref="J57" r:id="rId52" xr:uid="{00000000-0004-0000-0000-000033000000}"/>
    <hyperlink ref="J58" r:id="rId53" xr:uid="{00000000-0004-0000-0000-000034000000}"/>
    <hyperlink ref="J59" r:id="rId54" xr:uid="{00000000-0004-0000-0000-000035000000}"/>
    <hyperlink ref="J60" r:id="rId55" xr:uid="{00000000-0004-0000-0000-000036000000}"/>
    <hyperlink ref="J61" r:id="rId56" xr:uid="{00000000-0004-0000-0000-000037000000}"/>
    <hyperlink ref="J62" r:id="rId57" xr:uid="{00000000-0004-0000-0000-000038000000}"/>
    <hyperlink ref="J63" r:id="rId58" xr:uid="{00000000-0004-0000-0000-000039000000}"/>
    <hyperlink ref="J64" r:id="rId59" xr:uid="{00000000-0004-0000-0000-00003A000000}"/>
    <hyperlink ref="J65" r:id="rId60" xr:uid="{00000000-0004-0000-0000-00003B000000}"/>
    <hyperlink ref="J67" r:id="rId61" xr:uid="{00000000-0004-0000-0000-00003C000000}"/>
    <hyperlink ref="J68" r:id="rId62" xr:uid="{00000000-0004-0000-0000-00003D000000}"/>
    <hyperlink ref="J70" r:id="rId63" xr:uid="{00000000-0004-0000-0000-00003E000000}"/>
    <hyperlink ref="J71" r:id="rId64" xr:uid="{00000000-0004-0000-0000-00003F000000}"/>
    <hyperlink ref="J72" r:id="rId65" xr:uid="{00000000-0004-0000-0000-000040000000}"/>
    <hyperlink ref="J74" r:id="rId66" xr:uid="{00000000-0004-0000-0000-000041000000}"/>
    <hyperlink ref="K74" r:id="rId67" xr:uid="{00000000-0004-0000-0000-000042000000}"/>
    <hyperlink ref="J77" r:id="rId68" xr:uid="{00000000-0004-0000-0000-000043000000}"/>
    <hyperlink ref="K77" r:id="rId69" xr:uid="{00000000-0004-0000-0000-000044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1"/>
  <sheetViews>
    <sheetView workbookViewId="0"/>
  </sheetViews>
  <sheetFormatPr baseColWidth="10" defaultColWidth="14.5" defaultRowHeight="15" customHeight="1"/>
  <cols>
    <col min="1" max="1" width="52.5" customWidth="1"/>
    <col min="2" max="2" width="8.1640625" customWidth="1"/>
    <col min="3" max="3" width="115.33203125" customWidth="1"/>
    <col min="4" max="25" width="12.6640625" customWidth="1"/>
  </cols>
  <sheetData>
    <row r="1" spans="1:25">
      <c r="A1" s="19" t="s">
        <v>0</v>
      </c>
      <c r="B1" s="19" t="s">
        <v>3</v>
      </c>
      <c r="C1" s="19" t="s">
        <v>1</v>
      </c>
      <c r="D1" s="19" t="s">
        <v>295</v>
      </c>
      <c r="E1" s="19"/>
      <c r="F1" s="19"/>
      <c r="G1" s="19"/>
      <c r="H1" s="19"/>
      <c r="I1" s="19"/>
      <c r="J1" s="19"/>
      <c r="K1" s="19"/>
      <c r="L1" s="19"/>
      <c r="M1" s="19"/>
      <c r="N1" s="19"/>
      <c r="O1" s="19"/>
      <c r="P1" s="19"/>
      <c r="Q1" s="19"/>
      <c r="R1" s="19"/>
      <c r="S1" s="19"/>
      <c r="T1" s="19"/>
      <c r="U1" s="19"/>
      <c r="V1" s="19"/>
      <c r="W1" s="19"/>
      <c r="X1" s="19"/>
      <c r="Y1" s="19"/>
    </row>
    <row r="2" spans="1:25">
      <c r="A2" s="13" t="s">
        <v>296</v>
      </c>
      <c r="B2" s="13">
        <v>2021</v>
      </c>
      <c r="C2" s="13" t="s">
        <v>297</v>
      </c>
      <c r="D2" s="13" t="s">
        <v>298</v>
      </c>
      <c r="E2" s="13"/>
      <c r="F2" s="13"/>
      <c r="G2" s="13"/>
      <c r="H2" s="13"/>
      <c r="I2" s="13"/>
      <c r="J2" s="13"/>
      <c r="K2" s="13"/>
      <c r="L2" s="13"/>
      <c r="M2" s="13"/>
      <c r="N2" s="13"/>
      <c r="O2" s="13"/>
      <c r="P2" s="13"/>
      <c r="Q2" s="13"/>
      <c r="R2" s="13"/>
      <c r="S2" s="13"/>
      <c r="T2" s="13"/>
      <c r="U2" s="13"/>
      <c r="V2" s="13"/>
      <c r="W2" s="13"/>
      <c r="X2" s="13"/>
      <c r="Y2" s="13"/>
    </row>
    <row r="3" spans="1:25">
      <c r="A3" s="2" t="s">
        <v>33</v>
      </c>
      <c r="B3" s="13">
        <v>2021</v>
      </c>
      <c r="C3" s="13" t="s">
        <v>299</v>
      </c>
      <c r="D3" s="13" t="s">
        <v>300</v>
      </c>
      <c r="E3" s="13"/>
      <c r="F3" s="13"/>
      <c r="G3" s="13"/>
      <c r="H3" s="13"/>
      <c r="I3" s="13"/>
      <c r="J3" s="13"/>
      <c r="K3" s="13"/>
      <c r="L3" s="13"/>
      <c r="M3" s="13"/>
      <c r="N3" s="13"/>
      <c r="O3" s="13"/>
      <c r="P3" s="13"/>
      <c r="Q3" s="13"/>
      <c r="R3" s="13"/>
      <c r="S3" s="13"/>
      <c r="T3" s="13"/>
      <c r="U3" s="13"/>
      <c r="V3" s="13"/>
      <c r="W3" s="13"/>
      <c r="X3" s="13"/>
      <c r="Y3" s="13"/>
    </row>
    <row r="4" spans="1:25">
      <c r="A4" s="13" t="s">
        <v>301</v>
      </c>
      <c r="B4" s="13">
        <v>2021</v>
      </c>
      <c r="C4" s="13" t="s">
        <v>302</v>
      </c>
      <c r="D4" s="13" t="s">
        <v>303</v>
      </c>
      <c r="E4" s="13"/>
      <c r="F4" s="13"/>
      <c r="G4" s="13"/>
      <c r="H4" s="13"/>
      <c r="I4" s="13"/>
      <c r="J4" s="13"/>
      <c r="K4" s="13"/>
      <c r="L4" s="13"/>
      <c r="M4" s="13"/>
      <c r="N4" s="13"/>
      <c r="O4" s="13"/>
      <c r="P4" s="13"/>
      <c r="Q4" s="13"/>
      <c r="R4" s="13"/>
      <c r="S4" s="13"/>
      <c r="T4" s="13"/>
      <c r="U4" s="13"/>
      <c r="V4" s="13"/>
      <c r="W4" s="13"/>
      <c r="X4" s="13"/>
      <c r="Y4" s="13"/>
    </row>
    <row r="5" spans="1:25">
      <c r="A5" s="13" t="s">
        <v>304</v>
      </c>
      <c r="B5" s="13">
        <v>2022</v>
      </c>
      <c r="C5" s="13" t="s">
        <v>305</v>
      </c>
      <c r="D5" s="13" t="s">
        <v>298</v>
      </c>
      <c r="E5" s="13"/>
      <c r="F5" s="13"/>
      <c r="G5" s="13"/>
      <c r="H5" s="13"/>
      <c r="I5" s="13"/>
      <c r="J5" s="13"/>
      <c r="K5" s="13"/>
      <c r="L5" s="13"/>
      <c r="M5" s="13"/>
      <c r="N5" s="13"/>
      <c r="O5" s="13"/>
      <c r="P5" s="13"/>
      <c r="Q5" s="13"/>
      <c r="R5" s="13"/>
      <c r="S5" s="13"/>
      <c r="T5" s="13"/>
      <c r="U5" s="13"/>
      <c r="V5" s="13"/>
      <c r="W5" s="13"/>
      <c r="X5" s="13"/>
      <c r="Y5" s="13"/>
    </row>
    <row r="6" spans="1:25">
      <c r="A6" s="13" t="s">
        <v>306</v>
      </c>
      <c r="B6" s="13">
        <v>2022</v>
      </c>
      <c r="C6" s="13" t="s">
        <v>307</v>
      </c>
      <c r="D6" s="13" t="s">
        <v>308</v>
      </c>
      <c r="E6" s="13"/>
      <c r="F6" s="13"/>
      <c r="G6" s="13"/>
      <c r="H6" s="13"/>
      <c r="I6" s="13"/>
      <c r="J6" s="13"/>
      <c r="K6" s="13"/>
      <c r="L6" s="13"/>
      <c r="M6" s="13"/>
      <c r="N6" s="13"/>
      <c r="O6" s="13"/>
      <c r="P6" s="13"/>
      <c r="Q6" s="13"/>
      <c r="R6" s="13"/>
      <c r="S6" s="13"/>
      <c r="T6" s="13"/>
      <c r="U6" s="13"/>
      <c r="V6" s="13"/>
      <c r="W6" s="13"/>
      <c r="X6" s="13"/>
      <c r="Y6" s="13"/>
    </row>
    <row r="7" spans="1:25">
      <c r="A7" s="13"/>
      <c r="B7" s="13"/>
      <c r="C7" s="13"/>
      <c r="D7" s="13"/>
      <c r="E7" s="13"/>
      <c r="F7" s="13"/>
      <c r="G7" s="13"/>
      <c r="H7" s="13"/>
      <c r="I7" s="13"/>
      <c r="J7" s="13"/>
      <c r="K7" s="13"/>
      <c r="L7" s="13"/>
      <c r="M7" s="13"/>
      <c r="N7" s="13"/>
      <c r="O7" s="13"/>
      <c r="P7" s="13"/>
      <c r="Q7" s="13"/>
      <c r="R7" s="13"/>
      <c r="S7" s="13"/>
      <c r="T7" s="13"/>
      <c r="U7" s="13"/>
      <c r="V7" s="13"/>
      <c r="W7" s="13"/>
      <c r="X7" s="13"/>
      <c r="Y7" s="13"/>
    </row>
    <row r="8" spans="1:25">
      <c r="A8" s="13"/>
      <c r="B8" s="13"/>
      <c r="C8" s="13"/>
      <c r="D8" s="13"/>
      <c r="E8" s="13"/>
      <c r="F8" s="13"/>
      <c r="G8" s="13"/>
      <c r="H8" s="13"/>
      <c r="I8" s="13"/>
      <c r="J8" s="13"/>
      <c r="K8" s="13"/>
      <c r="L8" s="13"/>
      <c r="M8" s="13"/>
      <c r="N8" s="13"/>
      <c r="O8" s="13"/>
      <c r="P8" s="13"/>
      <c r="Q8" s="13"/>
      <c r="R8" s="13"/>
      <c r="S8" s="13"/>
      <c r="T8" s="13"/>
      <c r="U8" s="13"/>
      <c r="V8" s="13"/>
      <c r="W8" s="13"/>
      <c r="X8" s="13"/>
      <c r="Y8" s="13"/>
    </row>
    <row r="9" spans="1:25">
      <c r="A9" s="13"/>
      <c r="B9" s="13"/>
      <c r="C9" s="13"/>
      <c r="D9" s="13"/>
      <c r="E9" s="13"/>
      <c r="F9" s="13"/>
      <c r="G9" s="13"/>
      <c r="H9" s="13"/>
      <c r="I9" s="13"/>
      <c r="J9" s="13"/>
      <c r="K9" s="13"/>
      <c r="L9" s="13"/>
      <c r="M9" s="13"/>
      <c r="N9" s="13"/>
      <c r="O9" s="13"/>
      <c r="P9" s="13"/>
      <c r="Q9" s="13"/>
      <c r="R9" s="13"/>
      <c r="S9" s="13"/>
      <c r="T9" s="13"/>
      <c r="U9" s="13"/>
      <c r="V9" s="13"/>
      <c r="W9" s="13"/>
      <c r="X9" s="13"/>
      <c r="Y9" s="13"/>
    </row>
    <row r="10" spans="1:25">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spans="1:25">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spans="1:25">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spans="1:25">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spans="1:25">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spans="1:2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spans="1:25">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spans="1:25">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1:25">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spans="1:25">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spans="1:25">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spans="1:25">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spans="1:25">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spans="1:25">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spans="1:25">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spans="1: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spans="1:25">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spans="1:25">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1:25">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1:25">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1:25">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1:25">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1:25">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1:25">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1:25">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1:2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1:25">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1:2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1:25">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1:25">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1:25">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1:25">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1:25">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1:25">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1:2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5">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1:25">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spans="1:25">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spans="1:25">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spans="1:25">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spans="1:2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spans="1:25">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spans="1:25">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spans="1:25">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spans="1:25">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spans="1:25">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spans="1:25">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spans="1:25">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spans="1:2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spans="1:25">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spans="1:25">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spans="1:25">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spans="1:25">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spans="1:25">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spans="1:25">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spans="1:25">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spans="1:25">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spans="1:25">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spans="1:2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spans="1:25">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spans="1:25">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spans="1:25">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spans="1:25">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spans="1: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spans="1: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spans="1: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spans="1: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spans="1: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spans="1: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spans="1: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spans="1: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spans="1: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spans="1: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spans="1: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spans="1: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spans="1: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spans="1: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spans="1: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spans="1: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spans="1: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spans="1: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spans="1: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spans="1: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spans="1: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spans="1: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spans="1: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spans="1: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spans="1: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spans="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spans="1: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spans="1: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spans="1: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spans="1: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spans="1: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spans="1: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spans="1: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spans="1: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spans="1: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spans="1: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spans="1: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spans="1: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spans="1: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spans="1: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spans="1: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spans="1: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spans="1: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spans="1: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spans="1: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spans="1: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spans="1: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spans="1: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spans="1: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spans="1: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spans="1: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spans="1: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spans="1: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spans="1: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spans="1: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spans="1: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spans="1: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spans="1: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spans="1: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spans="1: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spans="1: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spans="1: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spans="1: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spans="1: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spans="1: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spans="1: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spans="1: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spans="1: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spans="1: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spans="1: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spans="1: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spans="1: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spans="1: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spans="1: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spans="1: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spans="1: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spans="1: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spans="1: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spans="1: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spans="1: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spans="1: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spans="1: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spans="1: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spans="1: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spans="1: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spans="1: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spans="1: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spans="1: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spans="1: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spans="1: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spans="1: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spans="1: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spans="1: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spans="1: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spans="1: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spans="1: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spans="1: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spans="1: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spans="1: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spans="1: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spans="1: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spans="1: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spans="1: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spans="1: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spans="1: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spans="1: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spans="1: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spans="1: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spans="1: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spans="1: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spans="1: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spans="1: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spans="1: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spans="1: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spans="1: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spans="1: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spans="1: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spans="1: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spans="1: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spans="1: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spans="1: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spans="1: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spans="1: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spans="1: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spans="1: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spans="1: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spans="1: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spans="1: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spans="1: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spans="1: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spans="1: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spans="1: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spans="1: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spans="1: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spans="1: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spans="1: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spans="1: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spans="1: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spans="1: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spans="1: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spans="1: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spans="1: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spans="1: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spans="1: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spans="1: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spans="1: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spans="1: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spans="1: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1: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1: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1: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1: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1: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1: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1: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1: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1: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1: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1: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1: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1: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1: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1: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1: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1: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1: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1: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1: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1: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1: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1: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1: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1: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1: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1: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1: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1: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spans="1: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spans="1: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spans="1: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spans="1: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spans="1: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spans="1: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spans="1: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spans="1: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spans="1: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spans="1: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spans="1: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spans="1: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spans="1: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spans="1: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spans="1: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spans="1: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spans="1: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spans="1: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spans="1: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spans="1: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spans="1: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spans="1: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spans="1: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spans="1: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spans="1: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spans="1: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spans="1: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spans="1: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spans="1: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spans="1: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spans="1: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spans="1: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spans="1: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spans="1: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spans="1: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spans="1: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spans="1: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spans="1: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spans="1: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spans="1: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spans="1: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spans="1: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spans="1: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spans="1: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spans="1: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spans="1: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spans="1: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spans="1: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spans="1: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spans="1: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spans="1: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spans="1: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spans="1: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spans="1: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spans="1: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spans="1: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spans="1: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spans="1: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spans="1: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spans="1: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spans="1: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spans="1: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spans="1: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spans="1: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spans="1: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spans="1: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spans="1: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spans="1: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spans="1: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spans="1: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spans="1: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spans="1: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spans="1: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spans="1: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spans="1: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spans="1: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spans="1: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spans="1: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spans="1: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spans="1: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spans="1: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spans="1: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spans="1: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spans="1: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spans="1: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spans="1: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spans="1: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spans="1: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spans="1: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spans="1: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spans="1: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spans="1: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spans="1: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spans="1: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spans="1: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spans="1: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spans="1: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spans="1: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spans="1: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spans="1: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spans="1: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spans="1: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spans="1: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spans="1: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spans="1: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spans="1: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spans="1: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spans="1: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spans="1: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spans="1: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spans="1: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spans="1: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spans="1: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spans="1: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spans="1: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spans="1: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spans="1: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spans="1: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spans="1: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spans="1: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spans="1: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spans="1: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spans="1: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spans="1: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spans="1: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spans="1: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spans="1: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spans="1: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spans="1: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spans="1: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spans="1: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spans="1: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spans="1: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spans="1: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spans="1: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spans="1: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spans="1: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spans="1: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spans="1: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spans="1: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spans="1: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spans="1: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spans="1: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spans="1: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spans="1: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spans="1: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spans="1: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spans="1: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spans="1: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spans="1: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spans="1: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spans="1: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spans="1: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spans="1: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spans="1: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spans="1: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spans="1: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spans="1: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spans="1: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spans="1: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spans="1: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spans="1: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spans="1: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spans="1: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spans="1: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spans="1: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spans="1: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spans="1: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spans="1: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spans="1: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spans="1: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spans="1: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spans="1: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spans="1: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spans="1: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spans="1: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spans="1: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spans="1: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spans="1: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spans="1: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spans="1: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spans="1: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spans="1: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spans="1: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spans="1: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spans="1: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spans="1: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spans="1: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spans="1: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spans="1: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spans="1: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spans="1: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spans="1: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spans="1: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spans="1: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spans="1: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spans="1: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spans="1: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spans="1: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spans="1: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spans="1: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spans="1: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spans="1: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spans="1: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spans="1: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spans="1: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spans="1: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spans="1: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spans="1: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spans="1: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spans="1: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spans="1: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spans="1: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spans="1: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spans="1: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spans="1: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spans="1: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spans="1: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spans="1: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spans="1: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spans="1: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spans="1: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spans="1: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spans="1: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spans="1: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spans="1: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spans="1: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spans="1: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spans="1: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spans="1: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spans="1: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spans="1: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spans="1: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spans="1: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spans="1: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spans="1: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spans="1: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spans="1: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spans="1: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spans="1: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spans="1: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spans="1: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spans="1: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spans="1: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spans="1: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spans="1: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spans="1: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spans="1: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spans="1: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spans="1: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spans="1: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spans="1: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spans="1: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spans="1: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spans="1: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spans="1: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spans="1: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spans="1: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spans="1: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spans="1: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spans="1: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spans="1: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spans="1: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spans="1: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spans="1: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spans="1: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spans="1: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spans="1: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spans="1: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spans="1: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spans="1: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spans="1: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spans="1: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spans="1: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spans="1: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spans="1: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spans="1: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spans="1: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spans="1: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spans="1: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spans="1: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spans="1: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spans="1: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spans="1: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spans="1: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spans="1: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spans="1: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spans="1: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spans="1: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spans="1: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spans="1: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spans="1: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spans="1: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spans="1: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spans="1: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spans="1: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spans="1: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spans="1: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spans="1: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spans="1: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spans="1: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spans="1: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spans="1: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spans="1: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spans="1: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spans="1: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spans="1: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spans="1: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spans="1: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spans="1: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spans="1: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spans="1: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spans="1: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spans="1: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spans="1: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spans="1: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spans="1: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spans="1: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spans="1: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spans="1: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spans="1: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spans="1: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spans="1: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spans="1: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spans="1: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spans="1: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spans="1: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spans="1: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spans="1: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spans="1: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spans="1: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spans="1: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spans="1: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spans="1: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spans="1: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spans="1: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spans="1: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spans="1: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spans="1: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spans="1: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spans="1: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spans="1: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spans="1: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spans="1: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spans="1: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spans="1: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spans="1: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spans="1: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spans="1: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spans="1: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spans="1: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spans="1: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spans="1: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spans="1: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spans="1: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spans="1: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spans="1: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spans="1: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spans="1: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spans="1: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spans="1: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spans="1: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spans="1: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spans="1: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spans="1: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spans="1: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spans="1: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spans="1: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spans="1: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spans="1: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spans="1: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spans="1: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spans="1: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spans="1: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spans="1: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spans="1: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spans="1: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spans="1: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spans="1: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spans="1: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spans="1: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spans="1: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spans="1: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spans="1: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spans="1: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spans="1: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spans="1: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spans="1: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spans="1: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spans="1: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spans="1: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spans="1: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spans="1: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spans="1: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spans="1: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spans="1: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spans="1: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spans="1: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spans="1: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spans="1: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spans="1: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spans="1: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spans="1: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spans="1: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spans="1: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spans="1: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spans="1: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spans="1: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spans="1: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spans="1: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spans="1: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spans="1: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spans="1: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spans="1: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spans="1: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spans="1: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spans="1: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spans="1: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spans="1: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spans="1: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spans="1: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spans="1: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spans="1: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spans="1: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spans="1: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spans="1: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spans="1: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spans="1: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spans="1: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spans="1: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spans="1: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spans="1: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spans="1: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spans="1: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spans="1: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spans="1: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spans="1: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spans="1: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spans="1: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spans="1: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spans="1: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spans="1: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spans="1: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spans="1: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spans="1: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spans="1: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spans="1: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spans="1: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spans="1: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spans="1: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spans="1: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spans="1: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spans="1: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spans="1: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spans="1: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spans="1: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spans="1: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spans="1: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spans="1: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spans="1: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spans="1: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spans="1: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spans="1: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spans="1: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spans="1: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spans="1: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spans="1: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spans="1: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spans="1: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spans="1: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spans="1: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spans="1: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spans="1: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spans="1: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spans="1: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spans="1: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spans="1: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spans="1: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spans="1: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spans="1: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spans="1: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spans="1: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spans="1: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spans="1: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spans="1: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spans="1: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spans="1: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spans="1: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spans="1: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spans="1: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spans="1: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spans="1: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spans="1: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spans="1: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spans="1: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spans="1: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spans="1: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spans="1: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spans="1: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spans="1: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spans="1: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spans="1: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spans="1: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spans="1: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spans="1: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spans="1: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spans="1: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spans="1: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spans="1: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spans="1: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spans="1: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spans="1: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spans="1: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spans="1: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spans="1: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spans="1: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spans="1: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spans="1: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spans="1: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spans="1: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spans="1: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spans="1: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spans="1: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spans="1: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spans="1: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spans="1: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spans="1: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spans="1: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spans="1: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spans="1: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spans="1: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spans="1: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spans="1: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spans="1: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spans="1: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spans="1: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spans="1: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spans="1: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spans="1: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spans="1: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spans="1: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spans="1: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spans="1: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spans="1: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spans="1: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spans="1: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spans="1: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spans="1: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spans="1: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spans="1: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spans="1: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spans="1: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spans="1: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spans="1: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spans="1: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spans="1: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spans="1: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spans="1: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spans="1: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spans="1: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spans="1: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spans="1: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spans="1: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spans="1: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spans="1: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spans="1: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spans="1: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spans="1: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spans="1: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spans="1: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spans="1: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spans="1: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spans="1: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spans="1: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spans="1: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spans="1: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spans="1: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spans="1: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spans="1: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spans="1: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spans="1: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spans="1: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spans="1: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spans="1: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spans="1: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spans="1: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spans="1: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spans="1: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spans="1: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spans="1: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spans="1: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spans="1: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spans="1: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spans="1: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spans="1: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spans="1: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spans="1: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spans="1: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spans="1: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spans="1: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spans="1: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spans="1: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spans="1: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spans="1: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spans="1: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spans="1: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spans="1: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spans="1: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spans="1: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spans="1: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spans="1: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spans="1: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spans="1: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spans="1: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spans="1: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spans="1: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spans="1: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spans="1: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spans="1: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spans="1: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spans="1: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spans="1: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spans="1: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spans="1: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spans="1: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spans="1: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spans="1: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spans="1: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spans="1: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spans="1: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spans="1: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spans="1: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spans="1: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spans="1: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spans="1: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spans="1: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spans="1: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spans="1: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spans="1: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spans="1: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spans="1:2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spans="1:2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spans="1:2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spans="1:2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spans="1:2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spans="1:2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spans="1:2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spans="1:2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spans="1: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spans="1:2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spans="1:2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spans="1:2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spans="1:2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spans="1:2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spans="1:2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spans="1:2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spans="1:2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spans="1:2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spans="1:2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spans="1:2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spans="1:2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spans="1:2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spans="1:2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spans="1:2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spans="1:2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spans="1:2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spans="1:2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spans="1:2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spans="1:2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spans="1:2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spans="1:2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spans="1:2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spans="1:2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spans="1:2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spans="1:2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spans="1:2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spans="1:2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spans="1:2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spans="1:2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spans="1:2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spans="1:2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spans="1:2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spans="1:2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spans="1:2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spans="1:2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spans="1:2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spans="1:2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spans="1:2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spans="1:2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spans="1:2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spans="1:2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spans="1:2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spans="1:2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spans="1:2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spans="1:2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spans="1:2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spans="1:2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spans="1:2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spans="1:2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spans="1:2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spans="1:2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spans="1:2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spans="1:2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spans="1:2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spans="1:2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spans="1:2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spans="1:2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spans="1:2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spans="1:2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spans="1:2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spans="1:2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spans="1:2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spans="1:2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spans="1:2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spans="1:2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spans="1:2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spans="1:2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spans="1:2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spans="1:2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spans="1:2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spans="1:2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spans="1:2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spans="1:2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row r="1000" spans="1:2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row>
    <row r="1001" spans="1:25">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28"/>
  <sheetViews>
    <sheetView workbookViewId="0"/>
  </sheetViews>
  <sheetFormatPr baseColWidth="10" defaultColWidth="14.5" defaultRowHeight="15" customHeight="1"/>
  <cols>
    <col min="1" max="2" width="25.83203125" customWidth="1"/>
    <col min="3" max="3" width="17.6640625" customWidth="1"/>
    <col min="4" max="4" width="5.5" customWidth="1"/>
    <col min="5" max="5" width="5.33203125" customWidth="1"/>
    <col min="6" max="6" width="37" customWidth="1"/>
    <col min="7" max="7" width="14" customWidth="1"/>
    <col min="8" max="8" width="5.33203125" customWidth="1"/>
    <col min="9" max="9" width="7.5" customWidth="1"/>
    <col min="10" max="10" width="13.1640625" customWidth="1"/>
    <col min="11" max="11" width="42.5" customWidth="1"/>
    <col min="12" max="12" width="24.1640625" customWidth="1"/>
    <col min="13" max="13" width="20.5" customWidth="1"/>
    <col min="14" max="14" width="20.33203125" customWidth="1"/>
    <col min="15" max="15" width="8.5" customWidth="1"/>
    <col min="16" max="16" width="7.83203125" customWidth="1"/>
    <col min="17" max="17" width="5.5" customWidth="1"/>
    <col min="18" max="18" width="8.5" customWidth="1"/>
    <col min="19" max="19" width="7.6640625" customWidth="1"/>
    <col min="20" max="20" width="9" customWidth="1"/>
    <col min="21" max="21" width="12.5" customWidth="1"/>
    <col min="22" max="22" width="13.33203125" customWidth="1"/>
    <col min="23" max="23" width="6.83203125" customWidth="1"/>
    <col min="24" max="24" width="16" customWidth="1"/>
    <col min="25" max="25" width="19" customWidth="1"/>
    <col min="26" max="26" width="9.1640625" customWidth="1"/>
    <col min="27" max="27" width="17.83203125" customWidth="1"/>
  </cols>
  <sheetData>
    <row r="1" spans="1:27">
      <c r="A1" s="1" t="s">
        <v>309</v>
      </c>
      <c r="B1" s="1" t="s">
        <v>310</v>
      </c>
      <c r="C1" s="1" t="s">
        <v>311</v>
      </c>
      <c r="D1" s="1" t="s">
        <v>312</v>
      </c>
      <c r="E1" s="1" t="s">
        <v>313</v>
      </c>
      <c r="F1" s="1" t="s">
        <v>4</v>
      </c>
      <c r="G1" s="1" t="s">
        <v>314</v>
      </c>
      <c r="H1" s="1" t="s">
        <v>315</v>
      </c>
      <c r="I1" s="1" t="s">
        <v>316</v>
      </c>
      <c r="J1" s="1" t="s">
        <v>317</v>
      </c>
      <c r="K1" s="1" t="s">
        <v>318</v>
      </c>
      <c r="L1" s="1" t="s">
        <v>319</v>
      </c>
      <c r="M1" s="1" t="s">
        <v>320</v>
      </c>
      <c r="N1" s="1" t="s">
        <v>321</v>
      </c>
      <c r="O1" s="1" t="s">
        <v>322</v>
      </c>
      <c r="P1" s="1" t="s">
        <v>323</v>
      </c>
      <c r="Q1" s="1" t="s">
        <v>324</v>
      </c>
      <c r="R1" s="1" t="s">
        <v>325</v>
      </c>
      <c r="S1" s="1" t="s">
        <v>326</v>
      </c>
      <c r="T1" s="1" t="s">
        <v>327</v>
      </c>
      <c r="U1" s="1" t="s">
        <v>328</v>
      </c>
      <c r="V1" s="1" t="s">
        <v>329</v>
      </c>
      <c r="W1" s="1" t="s">
        <v>330</v>
      </c>
      <c r="X1" s="1" t="s">
        <v>331</v>
      </c>
      <c r="Y1" s="1" t="s">
        <v>332</v>
      </c>
      <c r="Z1" s="1" t="s">
        <v>333</v>
      </c>
      <c r="AA1" s="1" t="s">
        <v>334</v>
      </c>
    </row>
    <row r="2" spans="1:27">
      <c r="A2" s="20" t="s">
        <v>335</v>
      </c>
      <c r="B2" s="20" t="s">
        <v>265</v>
      </c>
      <c r="C2" s="20">
        <v>2025</v>
      </c>
      <c r="D2" s="21" t="s">
        <v>336</v>
      </c>
      <c r="E2" s="20"/>
      <c r="F2" s="20" t="s">
        <v>337</v>
      </c>
      <c r="G2" s="20">
        <v>5</v>
      </c>
      <c r="H2" s="20"/>
      <c r="I2" s="20"/>
      <c r="J2" s="20"/>
      <c r="K2" s="20" t="s">
        <v>338</v>
      </c>
      <c r="L2" s="20"/>
      <c r="M2" s="20"/>
      <c r="N2" s="20"/>
      <c r="O2" s="20" t="s">
        <v>339</v>
      </c>
      <c r="P2" s="20">
        <v>8</v>
      </c>
      <c r="Q2" s="20">
        <v>1</v>
      </c>
      <c r="R2" s="20"/>
      <c r="S2" s="20"/>
      <c r="T2" s="20"/>
      <c r="U2" s="20"/>
      <c r="V2" s="20"/>
      <c r="W2" s="20" t="s">
        <v>340</v>
      </c>
      <c r="X2" s="20" t="s">
        <v>341</v>
      </c>
      <c r="Y2" s="20" t="s">
        <v>342</v>
      </c>
      <c r="Z2" s="20"/>
      <c r="AA2" s="20"/>
    </row>
    <row r="3" spans="1:27">
      <c r="A3" s="20" t="s">
        <v>343</v>
      </c>
      <c r="B3" s="20" t="s">
        <v>282</v>
      </c>
      <c r="C3" s="20">
        <v>2025</v>
      </c>
      <c r="D3" s="21" t="s">
        <v>344</v>
      </c>
      <c r="E3" s="20"/>
      <c r="F3" s="20" t="s">
        <v>345</v>
      </c>
      <c r="G3" s="20">
        <v>4</v>
      </c>
      <c r="H3" s="20"/>
      <c r="I3" s="20"/>
      <c r="J3" s="20"/>
      <c r="K3" s="20" t="s">
        <v>338</v>
      </c>
      <c r="L3" s="20"/>
      <c r="M3" s="20"/>
      <c r="N3" s="20"/>
      <c r="O3" s="20" t="s">
        <v>346</v>
      </c>
      <c r="P3" s="20">
        <v>63</v>
      </c>
      <c r="Q3" s="20">
        <v>11</v>
      </c>
      <c r="R3" s="20"/>
      <c r="S3" s="20"/>
      <c r="T3" s="20"/>
      <c r="U3" s="20"/>
      <c r="V3" s="20"/>
      <c r="W3" s="20" t="s">
        <v>340</v>
      </c>
      <c r="X3" s="20" t="s">
        <v>341</v>
      </c>
      <c r="Y3" s="20" t="s">
        <v>342</v>
      </c>
      <c r="Z3" s="20"/>
      <c r="AA3" s="20"/>
    </row>
    <row r="4" spans="1:27">
      <c r="A4" s="20" t="s">
        <v>347</v>
      </c>
      <c r="B4" s="20" t="s">
        <v>292</v>
      </c>
      <c r="C4" s="20">
        <v>2025</v>
      </c>
      <c r="D4" s="21" t="s">
        <v>348</v>
      </c>
      <c r="E4" s="20"/>
      <c r="F4" s="20" t="s">
        <v>349</v>
      </c>
      <c r="G4" s="20">
        <v>17</v>
      </c>
      <c r="H4" s="20"/>
      <c r="I4" s="20"/>
      <c r="J4" s="20"/>
      <c r="K4" s="20" t="s">
        <v>338</v>
      </c>
      <c r="L4" s="20"/>
      <c r="M4" s="20"/>
      <c r="N4" s="20"/>
      <c r="O4" s="20" t="s">
        <v>350</v>
      </c>
      <c r="P4" s="20">
        <v>25</v>
      </c>
      <c r="Q4" s="20">
        <v>22</v>
      </c>
      <c r="R4" s="20"/>
      <c r="S4" s="20"/>
      <c r="T4" s="20"/>
      <c r="U4" s="20">
        <v>16127</v>
      </c>
      <c r="V4" s="20">
        <v>16145</v>
      </c>
      <c r="W4" s="20" t="s">
        <v>340</v>
      </c>
      <c r="X4" s="20" t="s">
        <v>341</v>
      </c>
      <c r="Y4" s="20" t="s">
        <v>342</v>
      </c>
      <c r="Z4" s="20"/>
      <c r="AA4" s="20"/>
    </row>
    <row r="5" spans="1:27">
      <c r="A5" s="20" t="s">
        <v>351</v>
      </c>
      <c r="B5" s="20" t="s">
        <v>270</v>
      </c>
      <c r="C5" s="20">
        <v>2025</v>
      </c>
      <c r="D5" s="21" t="s">
        <v>352</v>
      </c>
      <c r="E5" s="20"/>
      <c r="F5" s="20" t="s">
        <v>353</v>
      </c>
      <c r="G5" s="20">
        <v>5</v>
      </c>
      <c r="H5" s="20"/>
      <c r="I5" s="20"/>
      <c r="J5" s="20"/>
      <c r="K5" s="20" t="s">
        <v>338</v>
      </c>
      <c r="L5" s="20"/>
      <c r="M5" s="20"/>
      <c r="N5" s="20"/>
      <c r="O5" s="20" t="s">
        <v>354</v>
      </c>
      <c r="P5" s="20">
        <v>171</v>
      </c>
      <c r="Q5" s="20"/>
      <c r="R5" s="20"/>
      <c r="S5" s="20"/>
      <c r="T5" s="20"/>
      <c r="U5" s="20"/>
      <c r="V5" s="20"/>
      <c r="W5" s="20" t="s">
        <v>340</v>
      </c>
      <c r="X5" s="20" t="s">
        <v>341</v>
      </c>
      <c r="Y5" s="20" t="s">
        <v>342</v>
      </c>
      <c r="Z5" s="20"/>
      <c r="AA5" s="20"/>
    </row>
    <row r="6" spans="1:27">
      <c r="A6" s="20" t="s">
        <v>355</v>
      </c>
      <c r="B6" s="20" t="s">
        <v>356</v>
      </c>
      <c r="C6" s="20">
        <v>2025</v>
      </c>
      <c r="D6" s="21" t="s">
        <v>357</v>
      </c>
      <c r="E6" s="20"/>
      <c r="F6" s="20" t="s">
        <v>358</v>
      </c>
      <c r="G6" s="20">
        <v>4</v>
      </c>
      <c r="H6" s="20"/>
      <c r="I6" s="20"/>
      <c r="J6" s="20"/>
      <c r="K6" s="20" t="s">
        <v>359</v>
      </c>
      <c r="L6" s="20"/>
      <c r="M6" s="20"/>
      <c r="N6" s="20"/>
      <c r="O6" s="20"/>
      <c r="P6" s="20"/>
      <c r="Q6" s="20"/>
      <c r="R6" s="20"/>
      <c r="S6" s="20" t="s">
        <v>360</v>
      </c>
      <c r="T6" s="20"/>
      <c r="U6" s="20"/>
      <c r="V6" s="20"/>
      <c r="W6" s="20"/>
      <c r="X6" s="20" t="s">
        <v>341</v>
      </c>
      <c r="Y6" s="20" t="s">
        <v>342</v>
      </c>
      <c r="Z6" s="20"/>
      <c r="AA6" s="20"/>
    </row>
    <row r="7" spans="1:27">
      <c r="A7" s="20" t="s">
        <v>361</v>
      </c>
      <c r="B7" s="20" t="s">
        <v>362</v>
      </c>
      <c r="C7" s="20">
        <v>2024</v>
      </c>
      <c r="D7" s="21" t="s">
        <v>363</v>
      </c>
      <c r="E7" s="21" t="s">
        <v>161</v>
      </c>
      <c r="F7" s="20" t="s">
        <v>364</v>
      </c>
      <c r="G7" s="20">
        <v>31</v>
      </c>
      <c r="H7" s="20"/>
      <c r="I7" s="20"/>
      <c r="J7" s="20"/>
      <c r="K7" s="20" t="s">
        <v>338</v>
      </c>
      <c r="L7" s="20" t="s">
        <v>365</v>
      </c>
      <c r="M7" s="20" t="s">
        <v>366</v>
      </c>
      <c r="N7" s="20"/>
      <c r="O7" s="20" t="s">
        <v>367</v>
      </c>
      <c r="P7" s="20">
        <v>105</v>
      </c>
      <c r="Q7" s="20">
        <v>2</v>
      </c>
      <c r="R7" s="20"/>
      <c r="S7" s="20"/>
      <c r="T7" s="20"/>
      <c r="U7" s="20"/>
      <c r="V7" s="20"/>
      <c r="W7" s="20" t="s">
        <v>340</v>
      </c>
      <c r="X7" s="20" t="s">
        <v>341</v>
      </c>
      <c r="Y7" s="20" t="s">
        <v>342</v>
      </c>
      <c r="Z7" s="20"/>
      <c r="AA7" s="20"/>
    </row>
    <row r="8" spans="1:27">
      <c r="A8" s="20" t="s">
        <v>368</v>
      </c>
      <c r="B8" s="20" t="s">
        <v>369</v>
      </c>
      <c r="C8" s="20">
        <v>2024</v>
      </c>
      <c r="D8" s="21" t="s">
        <v>370</v>
      </c>
      <c r="E8" s="20"/>
      <c r="F8" s="20" t="s">
        <v>371</v>
      </c>
      <c r="G8" s="20">
        <v>5</v>
      </c>
      <c r="H8" s="20"/>
      <c r="I8" s="20"/>
      <c r="J8" s="20"/>
      <c r="K8" s="20" t="s">
        <v>338</v>
      </c>
      <c r="L8" s="20" t="s">
        <v>372</v>
      </c>
      <c r="M8" s="20" t="s">
        <v>373</v>
      </c>
      <c r="N8" s="20"/>
      <c r="O8" s="20" t="s">
        <v>350</v>
      </c>
      <c r="P8" s="20">
        <v>24</v>
      </c>
      <c r="Q8" s="20">
        <v>7</v>
      </c>
      <c r="R8" s="20"/>
      <c r="S8" s="20"/>
      <c r="T8" s="20"/>
      <c r="U8" s="20">
        <v>4265</v>
      </c>
      <c r="V8" s="20">
        <v>4288</v>
      </c>
      <c r="W8" s="20" t="s">
        <v>340</v>
      </c>
      <c r="X8" s="20" t="s">
        <v>341</v>
      </c>
      <c r="Y8" s="20" t="s">
        <v>342</v>
      </c>
      <c r="Z8" s="20"/>
      <c r="AA8" s="20"/>
    </row>
    <row r="9" spans="1:27">
      <c r="A9" s="20" t="s">
        <v>374</v>
      </c>
      <c r="B9" s="20" t="s">
        <v>168</v>
      </c>
      <c r="C9" s="20">
        <v>2024</v>
      </c>
      <c r="D9" s="21" t="s">
        <v>375</v>
      </c>
      <c r="E9" s="20"/>
      <c r="F9" s="20" t="s">
        <v>376</v>
      </c>
      <c r="G9" s="20">
        <v>20</v>
      </c>
      <c r="H9" s="20"/>
      <c r="I9" s="20"/>
      <c r="J9" s="20"/>
      <c r="K9" s="20" t="s">
        <v>338</v>
      </c>
      <c r="L9" s="20" t="s">
        <v>377</v>
      </c>
      <c r="M9" s="20" t="s">
        <v>378</v>
      </c>
      <c r="N9" s="20"/>
      <c r="O9" s="20" t="s">
        <v>339</v>
      </c>
      <c r="P9" s="20">
        <v>7</v>
      </c>
      <c r="Q9" s="20">
        <v>1</v>
      </c>
      <c r="R9" s="20"/>
      <c r="S9" s="20"/>
      <c r="T9" s="20"/>
      <c r="U9" s="20"/>
      <c r="V9" s="20"/>
      <c r="W9" s="20"/>
      <c r="X9" s="20" t="s">
        <v>341</v>
      </c>
      <c r="Y9" s="20" t="s">
        <v>342</v>
      </c>
      <c r="Z9" s="20"/>
      <c r="AA9" s="20"/>
    </row>
    <row r="10" spans="1:27">
      <c r="A10" s="20" t="s">
        <v>379</v>
      </c>
      <c r="B10" s="20" t="s">
        <v>172</v>
      </c>
      <c r="C10" s="20">
        <v>2024</v>
      </c>
      <c r="D10" s="21" t="s">
        <v>380</v>
      </c>
      <c r="E10" s="20"/>
      <c r="F10" s="20" t="s">
        <v>381</v>
      </c>
      <c r="G10" s="20">
        <v>6</v>
      </c>
      <c r="H10" s="20"/>
      <c r="I10" s="20"/>
      <c r="J10" s="20"/>
      <c r="K10" s="20" t="s">
        <v>338</v>
      </c>
      <c r="L10" s="20" t="s">
        <v>382</v>
      </c>
      <c r="M10" s="20" t="s">
        <v>383</v>
      </c>
      <c r="N10" s="20"/>
      <c r="O10" s="20" t="s">
        <v>384</v>
      </c>
      <c r="P10" s="20"/>
      <c r="Q10" s="20"/>
      <c r="R10" s="20"/>
      <c r="S10" s="20"/>
      <c r="T10" s="20"/>
      <c r="U10" s="20"/>
      <c r="V10" s="20"/>
      <c r="W10" s="20" t="s">
        <v>340</v>
      </c>
      <c r="X10" s="20" t="s">
        <v>341</v>
      </c>
      <c r="Y10" s="20" t="s">
        <v>342</v>
      </c>
      <c r="Z10" s="20"/>
      <c r="AA10" s="20"/>
    </row>
    <row r="11" spans="1:27">
      <c r="A11" s="20" t="s">
        <v>385</v>
      </c>
      <c r="B11" s="20" t="s">
        <v>386</v>
      </c>
      <c r="C11" s="20">
        <v>2024</v>
      </c>
      <c r="D11" s="21" t="s">
        <v>387</v>
      </c>
      <c r="E11" s="20"/>
      <c r="F11" s="20" t="s">
        <v>388</v>
      </c>
      <c r="G11" s="20">
        <v>4</v>
      </c>
      <c r="H11" s="20"/>
      <c r="I11" s="20"/>
      <c r="J11" s="20"/>
      <c r="K11" s="20" t="s">
        <v>338</v>
      </c>
      <c r="L11" s="20" t="s">
        <v>389</v>
      </c>
      <c r="M11" s="20" t="s">
        <v>390</v>
      </c>
      <c r="N11" s="20"/>
      <c r="O11" s="20" t="s">
        <v>391</v>
      </c>
      <c r="P11" s="20">
        <v>24</v>
      </c>
      <c r="Q11" s="20">
        <v>12</v>
      </c>
      <c r="R11" s="20"/>
      <c r="S11" s="20"/>
      <c r="T11" s="20"/>
      <c r="U11" s="20">
        <v>4293</v>
      </c>
      <c r="V11" s="20">
        <v>4315</v>
      </c>
      <c r="W11" s="20"/>
      <c r="X11" s="20" t="s">
        <v>341</v>
      </c>
      <c r="Y11" s="20" t="s">
        <v>342</v>
      </c>
      <c r="Z11" s="20"/>
      <c r="AA11" s="20"/>
    </row>
    <row r="12" spans="1:27">
      <c r="A12" s="20" t="s">
        <v>392</v>
      </c>
      <c r="B12" s="20" t="s">
        <v>393</v>
      </c>
      <c r="C12" s="20">
        <v>2024</v>
      </c>
      <c r="D12" s="21" t="s">
        <v>394</v>
      </c>
      <c r="E12" s="20"/>
      <c r="F12" s="20" t="s">
        <v>395</v>
      </c>
      <c r="G12" s="20">
        <v>13</v>
      </c>
      <c r="H12" s="20"/>
      <c r="I12" s="20"/>
      <c r="J12" s="20"/>
      <c r="K12" s="20" t="s">
        <v>359</v>
      </c>
      <c r="L12" s="20"/>
      <c r="M12" s="20"/>
      <c r="N12" s="20"/>
      <c r="O12" s="20"/>
      <c r="P12" s="20"/>
      <c r="Q12" s="20"/>
      <c r="R12" s="20"/>
      <c r="S12" s="20" t="s">
        <v>393</v>
      </c>
      <c r="T12" s="20"/>
      <c r="U12" s="20"/>
      <c r="V12" s="20"/>
      <c r="W12" s="20"/>
      <c r="X12" s="20" t="s">
        <v>341</v>
      </c>
      <c r="Y12" s="20" t="s">
        <v>342</v>
      </c>
      <c r="Z12" s="20"/>
      <c r="AA12" s="20"/>
    </row>
    <row r="13" spans="1:27">
      <c r="A13" s="20" t="s">
        <v>396</v>
      </c>
      <c r="B13" s="20" t="s">
        <v>397</v>
      </c>
      <c r="C13" s="20">
        <v>2024</v>
      </c>
      <c r="D13" s="21" t="s">
        <v>398</v>
      </c>
      <c r="E13" s="20"/>
      <c r="F13" s="20" t="s">
        <v>399</v>
      </c>
      <c r="G13" s="20">
        <v>7</v>
      </c>
      <c r="H13" s="20"/>
      <c r="I13" s="20"/>
      <c r="J13" s="20"/>
      <c r="K13" s="20" t="s">
        <v>359</v>
      </c>
      <c r="L13" s="20"/>
      <c r="M13" s="20"/>
      <c r="N13" s="20"/>
      <c r="O13" s="20"/>
      <c r="P13" s="20"/>
      <c r="Q13" s="20"/>
      <c r="R13" s="20"/>
      <c r="S13" s="20" t="s">
        <v>397</v>
      </c>
      <c r="T13" s="20"/>
      <c r="U13" s="20"/>
      <c r="V13" s="20"/>
      <c r="W13" s="20"/>
      <c r="X13" s="20" t="s">
        <v>341</v>
      </c>
      <c r="Y13" s="20" t="s">
        <v>342</v>
      </c>
      <c r="Z13" s="20"/>
      <c r="AA13" s="20"/>
    </row>
    <row r="14" spans="1:27">
      <c r="A14" s="20" t="s">
        <v>400</v>
      </c>
      <c r="B14" s="20" t="s">
        <v>401</v>
      </c>
      <c r="C14" s="20">
        <v>2023</v>
      </c>
      <c r="D14" s="21" t="s">
        <v>402</v>
      </c>
      <c r="E14" s="20"/>
      <c r="F14" s="20" t="s">
        <v>403</v>
      </c>
      <c r="G14" s="20">
        <v>5</v>
      </c>
      <c r="H14" s="20"/>
      <c r="I14" s="20"/>
      <c r="J14" s="20"/>
      <c r="K14" s="20" t="s">
        <v>338</v>
      </c>
      <c r="L14" s="20" t="s">
        <v>404</v>
      </c>
      <c r="M14" s="20" t="s">
        <v>405</v>
      </c>
      <c r="N14" s="20"/>
      <c r="O14" s="20" t="s">
        <v>350</v>
      </c>
      <c r="P14" s="20">
        <v>23</v>
      </c>
      <c r="Q14" s="20">
        <v>24</v>
      </c>
      <c r="R14" s="20"/>
      <c r="S14" s="20"/>
      <c r="T14" s="20"/>
      <c r="U14" s="20"/>
      <c r="V14" s="20">
        <v>15521</v>
      </c>
      <c r="W14" s="20" t="s">
        <v>340</v>
      </c>
      <c r="X14" s="20" t="s">
        <v>341</v>
      </c>
      <c r="Y14" s="20" t="s">
        <v>342</v>
      </c>
      <c r="Z14" s="20"/>
      <c r="AA14" s="20"/>
    </row>
    <row r="15" spans="1:27">
      <c r="A15" s="20" t="s">
        <v>406</v>
      </c>
      <c r="B15" s="20" t="s">
        <v>110</v>
      </c>
      <c r="C15" s="20">
        <v>2023</v>
      </c>
      <c r="D15" s="21" t="s">
        <v>407</v>
      </c>
      <c r="E15" s="20"/>
      <c r="F15" s="20" t="s">
        <v>408</v>
      </c>
      <c r="G15" s="20">
        <v>4</v>
      </c>
      <c r="H15" s="20"/>
      <c r="I15" s="20"/>
      <c r="J15" s="20"/>
      <c r="K15" s="20" t="s">
        <v>338</v>
      </c>
      <c r="L15" s="20" t="s">
        <v>409</v>
      </c>
      <c r="M15" s="20" t="s">
        <v>410</v>
      </c>
      <c r="N15" s="20"/>
      <c r="O15" s="20" t="s">
        <v>411</v>
      </c>
      <c r="P15" s="20">
        <v>905</v>
      </c>
      <c r="Q15" s="20"/>
      <c r="R15" s="20"/>
      <c r="S15" s="20"/>
      <c r="T15" s="20" t="s">
        <v>412</v>
      </c>
      <c r="U15" s="20">
        <v>167134</v>
      </c>
      <c r="V15" s="20"/>
      <c r="W15" s="20" t="s">
        <v>340</v>
      </c>
      <c r="X15" s="20" t="s">
        <v>341</v>
      </c>
      <c r="Y15" s="20" t="s">
        <v>342</v>
      </c>
      <c r="Z15" s="20"/>
      <c r="AA15" s="20"/>
    </row>
    <row r="16" spans="1:27">
      <c r="A16" s="20" t="s">
        <v>413</v>
      </c>
      <c r="B16" s="20" t="s">
        <v>94</v>
      </c>
      <c r="C16" s="20">
        <v>2023</v>
      </c>
      <c r="D16" s="21" t="s">
        <v>414</v>
      </c>
      <c r="E16" s="21" t="s">
        <v>415</v>
      </c>
      <c r="F16" s="20" t="s">
        <v>416</v>
      </c>
      <c r="G16" s="20">
        <v>5</v>
      </c>
      <c r="H16" s="20"/>
      <c r="I16" s="20"/>
      <c r="J16" s="20"/>
      <c r="K16" s="20" t="s">
        <v>338</v>
      </c>
      <c r="L16" s="20" t="s">
        <v>417</v>
      </c>
      <c r="M16" s="20" t="s">
        <v>418</v>
      </c>
      <c r="N16" s="20"/>
      <c r="O16" s="20" t="s">
        <v>419</v>
      </c>
      <c r="P16" s="20">
        <v>18</v>
      </c>
      <c r="Q16" s="20">
        <v>3</v>
      </c>
      <c r="R16" s="20"/>
      <c r="S16" s="20"/>
      <c r="T16" s="20"/>
      <c r="U16" s="20">
        <v>34040</v>
      </c>
      <c r="V16" s="20"/>
      <c r="W16" s="20" t="s">
        <v>340</v>
      </c>
      <c r="X16" s="20" t="s">
        <v>341</v>
      </c>
      <c r="Y16" s="20" t="s">
        <v>342</v>
      </c>
      <c r="Z16" s="20"/>
      <c r="AA16" s="20"/>
    </row>
    <row r="17" spans="1:27">
      <c r="A17" s="20" t="s">
        <v>420</v>
      </c>
      <c r="B17" s="20" t="s">
        <v>421</v>
      </c>
      <c r="C17" s="20">
        <v>2023</v>
      </c>
      <c r="D17" s="21" t="s">
        <v>422</v>
      </c>
      <c r="E17" s="20"/>
      <c r="F17" s="20" t="s">
        <v>423</v>
      </c>
      <c r="G17" s="20">
        <v>3</v>
      </c>
      <c r="H17" s="20"/>
      <c r="I17" s="20"/>
      <c r="J17" s="20"/>
      <c r="K17" s="20" t="s">
        <v>424</v>
      </c>
      <c r="L17" s="20"/>
      <c r="M17" s="20"/>
      <c r="N17" s="20"/>
      <c r="O17" s="20"/>
      <c r="P17" s="20"/>
      <c r="Q17" s="20"/>
      <c r="R17" s="20"/>
      <c r="S17" s="20" t="s">
        <v>421</v>
      </c>
      <c r="T17" s="20"/>
      <c r="U17" s="20"/>
      <c r="V17" s="20"/>
      <c r="W17" s="20"/>
      <c r="X17" s="20" t="s">
        <v>341</v>
      </c>
      <c r="Y17" s="20" t="s">
        <v>342</v>
      </c>
      <c r="Z17" s="20"/>
      <c r="AA17" s="20"/>
    </row>
    <row r="18" spans="1:27">
      <c r="A18" s="20" t="s">
        <v>425</v>
      </c>
      <c r="B18" s="20" t="s">
        <v>426</v>
      </c>
      <c r="C18" s="20">
        <v>2023</v>
      </c>
      <c r="D18" s="21" t="s">
        <v>427</v>
      </c>
      <c r="E18" s="20"/>
      <c r="F18" s="20" t="s">
        <v>428</v>
      </c>
      <c r="G18" s="20">
        <v>5</v>
      </c>
      <c r="H18" s="20"/>
      <c r="I18" s="20"/>
      <c r="J18" s="20"/>
      <c r="K18" s="20" t="s">
        <v>359</v>
      </c>
      <c r="L18" s="20"/>
      <c r="M18" s="20"/>
      <c r="N18" s="20"/>
      <c r="O18" s="20"/>
      <c r="P18" s="20"/>
      <c r="Q18" s="20"/>
      <c r="R18" s="20"/>
      <c r="S18" s="20" t="s">
        <v>426</v>
      </c>
      <c r="T18" s="20"/>
      <c r="U18" s="20"/>
      <c r="V18" s="20"/>
      <c r="W18" s="20"/>
      <c r="X18" s="20" t="s">
        <v>341</v>
      </c>
      <c r="Y18" s="20" t="s">
        <v>342</v>
      </c>
      <c r="Z18" s="20"/>
      <c r="AA18" s="20"/>
    </row>
    <row r="19" spans="1:27">
      <c r="A19" s="20" t="s">
        <v>429</v>
      </c>
      <c r="B19" s="20" t="s">
        <v>430</v>
      </c>
      <c r="C19" s="20">
        <v>2023</v>
      </c>
      <c r="D19" s="21" t="s">
        <v>431</v>
      </c>
      <c r="E19" s="20"/>
      <c r="F19" s="20" t="s">
        <v>432</v>
      </c>
      <c r="G19" s="20">
        <v>3</v>
      </c>
      <c r="H19" s="20"/>
      <c r="I19" s="20"/>
      <c r="J19" s="20"/>
      <c r="K19" s="20" t="s">
        <v>359</v>
      </c>
      <c r="L19" s="20"/>
      <c r="M19" s="20"/>
      <c r="N19" s="20"/>
      <c r="O19" s="20"/>
      <c r="P19" s="20"/>
      <c r="Q19" s="20"/>
      <c r="R19" s="20"/>
      <c r="S19" s="20" t="s">
        <v>430</v>
      </c>
      <c r="T19" s="20"/>
      <c r="U19" s="20"/>
      <c r="V19" s="20"/>
      <c r="W19" s="20"/>
      <c r="X19" s="20" t="s">
        <v>341</v>
      </c>
      <c r="Y19" s="20" t="s">
        <v>342</v>
      </c>
      <c r="Z19" s="20"/>
      <c r="AA19" s="20"/>
    </row>
    <row r="20" spans="1:27">
      <c r="A20" s="20" t="s">
        <v>433</v>
      </c>
      <c r="B20" s="20" t="s">
        <v>54</v>
      </c>
      <c r="C20" s="20">
        <v>2022</v>
      </c>
      <c r="D20" s="21" t="s">
        <v>434</v>
      </c>
      <c r="E20" s="20"/>
      <c r="F20" s="20" t="s">
        <v>435</v>
      </c>
      <c r="G20" s="20">
        <v>7</v>
      </c>
      <c r="H20" s="20"/>
      <c r="I20" s="20"/>
      <c r="J20" s="20"/>
      <c r="K20" s="20" t="s">
        <v>338</v>
      </c>
      <c r="L20" s="20" t="s">
        <v>436</v>
      </c>
      <c r="M20" s="20" t="s">
        <v>437</v>
      </c>
      <c r="N20" s="20"/>
      <c r="O20" s="20" t="s">
        <v>350</v>
      </c>
      <c r="P20" s="20">
        <v>22</v>
      </c>
      <c r="Q20" s="20">
        <v>8</v>
      </c>
      <c r="R20" s="20"/>
      <c r="S20" s="20"/>
      <c r="T20" s="20"/>
      <c r="U20" s="20">
        <v>5701</v>
      </c>
      <c r="V20" s="20">
        <v>5724</v>
      </c>
      <c r="W20" s="20" t="s">
        <v>340</v>
      </c>
      <c r="X20" s="20" t="s">
        <v>341</v>
      </c>
      <c r="Y20" s="20" t="s">
        <v>342</v>
      </c>
      <c r="Z20" s="20"/>
      <c r="AA20" s="20"/>
    </row>
    <row r="21" spans="1:27">
      <c r="A21" s="20" t="s">
        <v>420</v>
      </c>
      <c r="B21" s="20" t="s">
        <v>438</v>
      </c>
      <c r="C21" s="20">
        <v>2022</v>
      </c>
      <c r="D21" s="21" t="s">
        <v>439</v>
      </c>
      <c r="E21" s="20"/>
      <c r="F21" s="20" t="s">
        <v>440</v>
      </c>
      <c r="G21" s="20">
        <v>3</v>
      </c>
      <c r="H21" s="20"/>
      <c r="I21" s="20"/>
      <c r="J21" s="20"/>
      <c r="K21" s="20" t="s">
        <v>359</v>
      </c>
      <c r="L21" s="20"/>
      <c r="M21" s="20"/>
      <c r="N21" s="20"/>
      <c r="O21" s="20"/>
      <c r="P21" s="20"/>
      <c r="Q21" s="20"/>
      <c r="R21" s="20"/>
      <c r="S21" s="20" t="s">
        <v>438</v>
      </c>
      <c r="T21" s="20"/>
      <c r="U21" s="20"/>
      <c r="V21" s="20"/>
      <c r="W21" s="20"/>
      <c r="X21" s="20" t="s">
        <v>341</v>
      </c>
      <c r="Y21" s="20" t="s">
        <v>342</v>
      </c>
      <c r="Z21" s="20"/>
      <c r="AA21" s="20"/>
    </row>
    <row r="22" spans="1:27">
      <c r="A22" s="20" t="s">
        <v>441</v>
      </c>
      <c r="B22" s="20" t="s">
        <v>442</v>
      </c>
      <c r="C22" s="20">
        <v>2022</v>
      </c>
      <c r="D22" s="21" t="s">
        <v>443</v>
      </c>
      <c r="E22" s="20"/>
      <c r="F22" s="20"/>
      <c r="G22" s="20">
        <v>3</v>
      </c>
      <c r="H22" s="20"/>
      <c r="I22" s="20"/>
      <c r="J22" s="20"/>
      <c r="K22" s="20" t="s">
        <v>444</v>
      </c>
      <c r="L22" s="20"/>
      <c r="M22" s="20"/>
      <c r="N22" s="20"/>
      <c r="O22" s="20"/>
      <c r="P22" s="20"/>
      <c r="Q22" s="20"/>
      <c r="R22" s="20"/>
      <c r="S22" s="20" t="s">
        <v>445</v>
      </c>
      <c r="T22" s="20"/>
      <c r="U22" s="20"/>
      <c r="V22" s="20"/>
      <c r="W22" s="20"/>
      <c r="X22" s="20" t="s">
        <v>341</v>
      </c>
      <c r="Y22" s="20" t="s">
        <v>342</v>
      </c>
      <c r="Z22" s="20"/>
      <c r="AA22" s="20"/>
    </row>
    <row r="23" spans="1:27">
      <c r="A23" s="20" t="s">
        <v>446</v>
      </c>
      <c r="B23" s="20" t="s">
        <v>447</v>
      </c>
      <c r="C23" s="20">
        <v>2021</v>
      </c>
      <c r="D23" s="21" t="s">
        <v>448</v>
      </c>
      <c r="E23" s="20"/>
      <c r="F23" s="20" t="s">
        <v>449</v>
      </c>
      <c r="G23" s="20">
        <v>16</v>
      </c>
      <c r="H23" s="20"/>
      <c r="I23" s="20"/>
      <c r="J23" s="20"/>
      <c r="K23" s="20" t="s">
        <v>338</v>
      </c>
      <c r="L23" s="20" t="s">
        <v>450</v>
      </c>
      <c r="M23" s="20" t="s">
        <v>451</v>
      </c>
      <c r="N23" s="20"/>
      <c r="O23" s="20" t="s">
        <v>350</v>
      </c>
      <c r="P23" s="20">
        <v>21</v>
      </c>
      <c r="Q23" s="20">
        <v>10</v>
      </c>
      <c r="R23" s="20"/>
      <c r="S23" s="20"/>
      <c r="T23" s="20"/>
      <c r="U23" s="20">
        <v>8233</v>
      </c>
      <c r="V23" s="20">
        <v>8253</v>
      </c>
      <c r="W23" s="20" t="s">
        <v>340</v>
      </c>
      <c r="X23" s="20" t="s">
        <v>341</v>
      </c>
      <c r="Y23" s="20" t="s">
        <v>342</v>
      </c>
      <c r="Z23" s="20"/>
      <c r="AA23" s="20"/>
    </row>
    <row r="24" spans="1:27">
      <c r="A24" s="20" t="s">
        <v>452</v>
      </c>
      <c r="B24" s="20" t="s">
        <v>31</v>
      </c>
      <c r="C24" s="20">
        <v>2021</v>
      </c>
      <c r="D24" s="21" t="s">
        <v>453</v>
      </c>
      <c r="E24" s="20"/>
      <c r="F24" s="20" t="s">
        <v>454</v>
      </c>
      <c r="G24" s="20">
        <v>5</v>
      </c>
      <c r="H24" s="20"/>
      <c r="I24" s="20"/>
      <c r="J24" s="20"/>
      <c r="K24" s="20" t="s">
        <v>338</v>
      </c>
      <c r="L24" s="20" t="s">
        <v>455</v>
      </c>
      <c r="M24" s="20" t="s">
        <v>456</v>
      </c>
      <c r="N24" s="20"/>
      <c r="O24" s="20" t="s">
        <v>350</v>
      </c>
      <c r="P24" s="20">
        <v>21</v>
      </c>
      <c r="Q24" s="20"/>
      <c r="R24" s="20"/>
      <c r="S24" s="20"/>
      <c r="T24" s="20"/>
      <c r="U24" s="20">
        <v>16575</v>
      </c>
      <c r="V24" s="20">
        <v>16591</v>
      </c>
      <c r="W24" s="20" t="s">
        <v>340</v>
      </c>
      <c r="X24" s="20" t="s">
        <v>341</v>
      </c>
      <c r="Y24" s="20" t="s">
        <v>342</v>
      </c>
      <c r="Z24" s="20"/>
      <c r="AA24" s="20"/>
    </row>
    <row r="25" spans="1:27">
      <c r="A25" s="20" t="s">
        <v>457</v>
      </c>
      <c r="B25" s="20" t="s">
        <v>458</v>
      </c>
      <c r="C25" s="20">
        <v>2021</v>
      </c>
      <c r="D25" s="21" t="s">
        <v>459</v>
      </c>
      <c r="E25" s="20"/>
      <c r="F25" s="20" t="s">
        <v>460</v>
      </c>
      <c r="G25" s="20">
        <v>6</v>
      </c>
      <c r="H25" s="20"/>
      <c r="I25" s="20"/>
      <c r="J25" s="20"/>
      <c r="K25" s="20" t="s">
        <v>338</v>
      </c>
      <c r="L25" s="20" t="s">
        <v>461</v>
      </c>
      <c r="M25" s="20" t="s">
        <v>462</v>
      </c>
      <c r="N25" s="20"/>
      <c r="O25" s="20" t="s">
        <v>463</v>
      </c>
      <c r="P25" s="20">
        <v>99</v>
      </c>
      <c r="Q25" s="20">
        <v>4</v>
      </c>
      <c r="R25" s="20"/>
      <c r="S25" s="20"/>
      <c r="T25" s="20"/>
      <c r="U25" s="20">
        <v>1127</v>
      </c>
      <c r="V25" s="20">
        <v>1139</v>
      </c>
      <c r="W25" s="20" t="s">
        <v>340</v>
      </c>
      <c r="X25" s="20" t="s">
        <v>341</v>
      </c>
      <c r="Y25" s="20" t="s">
        <v>342</v>
      </c>
      <c r="Z25" s="20"/>
      <c r="AA25" s="20"/>
    </row>
    <row r="26" spans="1:27">
      <c r="A26" s="20" t="s">
        <v>464</v>
      </c>
      <c r="B26" s="20" t="s">
        <v>11</v>
      </c>
      <c r="C26" s="20">
        <v>2021</v>
      </c>
      <c r="D26" s="21" t="s">
        <v>465</v>
      </c>
      <c r="E26" s="20"/>
      <c r="F26" s="20" t="s">
        <v>466</v>
      </c>
      <c r="G26" s="20">
        <v>3</v>
      </c>
      <c r="H26" s="20"/>
      <c r="I26" s="20"/>
      <c r="J26" s="20"/>
      <c r="K26" s="20" t="s">
        <v>338</v>
      </c>
      <c r="L26" s="20" t="s">
        <v>467</v>
      </c>
      <c r="M26" s="20" t="s">
        <v>468</v>
      </c>
      <c r="N26" s="20"/>
      <c r="O26" s="20" t="s">
        <v>339</v>
      </c>
      <c r="P26" s="20">
        <v>4</v>
      </c>
      <c r="Q26" s="20">
        <v>1</v>
      </c>
      <c r="R26" s="20"/>
      <c r="S26" s="20"/>
      <c r="T26" s="20"/>
      <c r="U26" s="20"/>
      <c r="V26" s="20"/>
      <c r="W26" s="20" t="s">
        <v>340</v>
      </c>
      <c r="X26" s="20" t="s">
        <v>341</v>
      </c>
      <c r="Y26" s="20" t="s">
        <v>342</v>
      </c>
      <c r="Z26" s="20"/>
      <c r="AA26" s="20"/>
    </row>
    <row r="27" spans="1:27">
      <c r="A27" s="20" t="s">
        <v>469</v>
      </c>
      <c r="B27" s="20" t="s">
        <v>7</v>
      </c>
      <c r="C27" s="20">
        <v>2021</v>
      </c>
      <c r="D27" s="21" t="s">
        <v>470</v>
      </c>
      <c r="E27" s="20"/>
      <c r="F27" s="20" t="s">
        <v>471</v>
      </c>
      <c r="G27" s="20">
        <v>7</v>
      </c>
      <c r="H27" s="20"/>
      <c r="I27" s="20"/>
      <c r="J27" s="20"/>
      <c r="K27" s="20" t="s">
        <v>338</v>
      </c>
      <c r="L27" s="20" t="s">
        <v>472</v>
      </c>
      <c r="M27" s="20" t="s">
        <v>473</v>
      </c>
      <c r="N27" s="20"/>
      <c r="O27" s="20" t="s">
        <v>474</v>
      </c>
      <c r="P27" s="20">
        <v>12</v>
      </c>
      <c r="Q27" s="20">
        <v>4</v>
      </c>
      <c r="R27" s="20"/>
      <c r="S27" s="20"/>
      <c r="T27" s="20"/>
      <c r="U27" s="20">
        <v>428</v>
      </c>
      <c r="V27" s="20"/>
      <c r="W27" s="20" t="s">
        <v>340</v>
      </c>
      <c r="X27" s="20" t="s">
        <v>341</v>
      </c>
      <c r="Y27" s="20" t="s">
        <v>342</v>
      </c>
      <c r="Z27" s="20"/>
      <c r="AA27" s="20"/>
    </row>
    <row r="28" spans="1:27">
      <c r="A28" s="20" t="s">
        <v>475</v>
      </c>
      <c r="B28" s="20" t="s">
        <v>23</v>
      </c>
      <c r="C28" s="20">
        <v>2021</v>
      </c>
      <c r="D28" s="21" t="s">
        <v>476</v>
      </c>
      <c r="E28" s="20"/>
      <c r="F28" s="20" t="s">
        <v>477</v>
      </c>
      <c r="G28" s="20">
        <v>3</v>
      </c>
      <c r="H28" s="20"/>
      <c r="I28" s="20"/>
      <c r="J28" s="20"/>
      <c r="K28" s="20" t="s">
        <v>478</v>
      </c>
      <c r="L28" s="20"/>
      <c r="M28" s="20" t="s">
        <v>479</v>
      </c>
      <c r="N28" s="20"/>
      <c r="O28" s="20"/>
      <c r="P28" s="20"/>
      <c r="Q28" s="20"/>
      <c r="R28" s="20"/>
      <c r="S28" s="20" t="s">
        <v>24</v>
      </c>
      <c r="T28" s="20"/>
      <c r="U28" s="20"/>
      <c r="V28" s="20"/>
      <c r="W28" s="20"/>
      <c r="X28" s="20" t="s">
        <v>341</v>
      </c>
      <c r="Y28" s="20" t="s">
        <v>342</v>
      </c>
      <c r="Z28" s="20"/>
      <c r="AA28" s="20"/>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E7" r:id="rId7" xr:uid="{00000000-0004-0000-0200-000006000000}"/>
    <hyperlink ref="D8" r:id="rId8" xr:uid="{00000000-0004-0000-0200-000007000000}"/>
    <hyperlink ref="D9" r:id="rId9" xr:uid="{00000000-0004-0000-0200-000008000000}"/>
    <hyperlink ref="D10" r:id="rId10" xr:uid="{00000000-0004-0000-0200-000009000000}"/>
    <hyperlink ref="D11" r:id="rId11" xr:uid="{00000000-0004-0000-0200-00000A000000}"/>
    <hyperlink ref="D12" r:id="rId12" xr:uid="{00000000-0004-0000-0200-00000B000000}"/>
    <hyperlink ref="D13" r:id="rId13" xr:uid="{00000000-0004-0000-0200-00000C000000}"/>
    <hyperlink ref="D14" r:id="rId14" xr:uid="{00000000-0004-0000-0200-00000D000000}"/>
    <hyperlink ref="D15" r:id="rId15" xr:uid="{00000000-0004-0000-0200-00000E000000}"/>
    <hyperlink ref="D16" r:id="rId16" xr:uid="{00000000-0004-0000-0200-00000F000000}"/>
    <hyperlink ref="E16" r:id="rId17" xr:uid="{00000000-0004-0000-0200-000010000000}"/>
    <hyperlink ref="D17" r:id="rId18" xr:uid="{00000000-0004-0000-0200-000011000000}"/>
    <hyperlink ref="D18" r:id="rId19" xr:uid="{00000000-0004-0000-0200-000012000000}"/>
    <hyperlink ref="D19" r:id="rId20" xr:uid="{00000000-0004-0000-0200-000013000000}"/>
    <hyperlink ref="D20" r:id="rId21" xr:uid="{00000000-0004-0000-0200-000014000000}"/>
    <hyperlink ref="D21" r:id="rId22" xr:uid="{00000000-0004-0000-0200-000015000000}"/>
    <hyperlink ref="D22" r:id="rId23" xr:uid="{00000000-0004-0000-0200-000016000000}"/>
    <hyperlink ref="D23" r:id="rId24" xr:uid="{00000000-0004-0000-0200-000017000000}"/>
    <hyperlink ref="D24" r:id="rId25" xr:uid="{00000000-0004-0000-0200-000018000000}"/>
    <hyperlink ref="D25" r:id="rId26" xr:uid="{00000000-0004-0000-0200-000019000000}"/>
    <hyperlink ref="D26" r:id="rId27" xr:uid="{00000000-0004-0000-0200-00001A000000}"/>
    <hyperlink ref="D27" r:id="rId28" xr:uid="{00000000-0004-0000-0200-00001B000000}"/>
    <hyperlink ref="D28" r:id="rId29" xr:uid="{00000000-0004-0000-0200-00001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papers</vt:lpstr>
      <vt:lpstr>reports</vt:lpstr>
      <vt:lpstr>IRIS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NOBILE Elisa</cp:lastModifiedBy>
  <dcterms:created xsi:type="dcterms:W3CDTF">2006-09-16T00:00:00Z</dcterms:created>
  <dcterms:modified xsi:type="dcterms:W3CDTF">2026-03-16T16:01:44Z</dcterms:modified>
</cp:coreProperties>
</file>